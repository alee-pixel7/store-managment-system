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90" activeTab="7"/>
  </bookViews>
  <sheets>
    <sheet name="BREAKER RELAY ETC" sheetId="1" r:id="rId1"/>
    <sheet name="SHANXI BARREN" sheetId="2" r:id="rId2"/>
    <sheet name="WORLDLY GRAVOURE" sheetId="6" r:id="rId3"/>
    <sheet name="SINOMECH" sheetId="3" r:id="rId4"/>
    <sheet name="BAG MAKING" sheetId="4" r:id="rId5"/>
    <sheet name="COMEXI LAMINATION" sheetId="5" r:id="rId6"/>
    <sheet name="METALIZER" sheetId="9" r:id="rId7"/>
    <sheet name="SLITTINGS" sheetId="7" r:id="rId8"/>
    <sheet name="BELTS" sheetId="8" r:id="rId9"/>
    <sheet name="UV REBORN MACHINE" sheetId="10" r:id="rId10"/>
    <sheet name="PNEUMATIC" sheetId="11" r:id="rId11"/>
    <sheet name="DIAPPER CUTTING" sheetId="12" r:id="rId12"/>
    <sheet name="3 LAYER EXTRUDER" sheetId="13" r:id="rId13"/>
    <sheet name="MONO LAYER EXTRUDER" sheetId="14" r:id="rId14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J92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<sst xmlns="http://schemas.openxmlformats.org/spreadsheetml/2006/main" count="1520" uniqueCount="984">
  <si>
    <t xml:space="preserve">BREAKER STOCK </t>
  </si>
  <si>
    <t xml:space="preserve">CONTACTOR   STOCKS </t>
  </si>
  <si>
    <t xml:space="preserve">RELAY (OVERLOAD)   STOCKS </t>
  </si>
  <si>
    <t xml:space="preserve">SR NO </t>
  </si>
  <si>
    <t xml:space="preserve">NAME </t>
  </si>
  <si>
    <t xml:space="preserve">AMPERE </t>
  </si>
  <si>
    <t xml:space="preserve">STOCK </t>
  </si>
  <si>
    <t xml:space="preserve">ISSUE </t>
  </si>
  <si>
    <t xml:space="preserve">TOTAL REMANING STOCK </t>
  </si>
  <si>
    <t xml:space="preserve">FUSE HOLDER </t>
  </si>
  <si>
    <t xml:space="preserve">32A </t>
  </si>
  <si>
    <t xml:space="preserve">COIL 220V </t>
  </si>
  <si>
    <t>65A</t>
  </si>
  <si>
    <t>ELECTRONIC RELAY [ LIFT]</t>
  </si>
  <si>
    <t>5to60A</t>
  </si>
  <si>
    <t xml:space="preserve">SINGLE POLE </t>
  </si>
  <si>
    <t>10A</t>
  </si>
  <si>
    <t>SCHNIDER[LC1D12]COIL 24VDC]</t>
  </si>
  <si>
    <t>25A</t>
  </si>
  <si>
    <t>ELECTRONIC RELAY</t>
  </si>
  <si>
    <t>0.5 TO 6.5</t>
  </si>
  <si>
    <t>6A</t>
  </si>
  <si>
    <t>COIL 220V SIEMENS</t>
  </si>
  <si>
    <t>80A</t>
  </si>
  <si>
    <t>THERMAL OVER LOAD</t>
  </si>
  <si>
    <t>0.8 TO 1.2</t>
  </si>
  <si>
    <t>20A</t>
  </si>
  <si>
    <t>COIL 220V (LS)</t>
  </si>
  <si>
    <t>100A</t>
  </si>
  <si>
    <t>SIEMENTHERMAL RELAY</t>
  </si>
  <si>
    <t>9 TO 12.5</t>
  </si>
  <si>
    <t xml:space="preserve">2POLE </t>
  </si>
  <si>
    <t xml:space="preserve">FUJI COIL 220V (OPEN PACKING] </t>
  </si>
  <si>
    <t>32A</t>
  </si>
  <si>
    <t>THERAL RELAY</t>
  </si>
  <si>
    <t>2.9 TO 4</t>
  </si>
  <si>
    <t xml:space="preserve">10A </t>
  </si>
  <si>
    <t>COIL 220V (MISTSUBISHI)</t>
  </si>
  <si>
    <t>22A</t>
  </si>
  <si>
    <t>OVER UNDER VOLTAGE CURRENT PROTECTION RELAY</t>
  </si>
  <si>
    <t>63A</t>
  </si>
  <si>
    <t>COIL 220V SEHNEIDER</t>
  </si>
  <si>
    <t>PHASE CONTROL RELAY</t>
  </si>
  <si>
    <t>RT 101 A</t>
  </si>
  <si>
    <t>COIL 220V(TECO)</t>
  </si>
  <si>
    <t xml:space="preserve">35A </t>
  </si>
  <si>
    <t>OVER UNDER [ONLY VOLTAGE]  RELAY</t>
  </si>
  <si>
    <t>/</t>
  </si>
  <si>
    <t xml:space="preserve">3POLE </t>
  </si>
  <si>
    <t>3A</t>
  </si>
  <si>
    <t>COIL 110V(SIEMENS)</t>
  </si>
  <si>
    <t>PHASE MONATRING RELAY</t>
  </si>
  <si>
    <t xml:space="preserve">SEHNEIDER (LCID09M7)COIL 220V </t>
  </si>
  <si>
    <t>SEHNEIDER RM4TR32</t>
  </si>
  <si>
    <t>16A</t>
  </si>
  <si>
    <t>COIL 220V (TECO)</t>
  </si>
  <si>
    <t>60A</t>
  </si>
  <si>
    <t>SIEMEN PHASE FALUIRE RELAY3VG3</t>
  </si>
  <si>
    <t>SCHNIDER[LC1E1210]COIL 24VAC]</t>
  </si>
  <si>
    <t>CROUZET PHASE FALUIRE RELAY EW5</t>
  </si>
  <si>
    <t>SCHNEIDER [LC1D95] COIL 220V</t>
  </si>
  <si>
    <t>125A</t>
  </si>
  <si>
    <t xml:space="preserve">FINDER PHASE FALUIRE RELAY </t>
  </si>
  <si>
    <t>CHNT [NXC38]COIL220</t>
  </si>
  <si>
    <t>50A</t>
  </si>
  <si>
    <t>TOGAMI HSERIES[PAK-80H]COIL220V</t>
  </si>
  <si>
    <t xml:space="preserve">4POLE </t>
  </si>
  <si>
    <t xml:space="preserve"> PINS RELAY   </t>
  </si>
  <si>
    <t xml:space="preserve">APPROXMITLY SWITCH </t>
  </si>
  <si>
    <t xml:space="preserve">EARTH LEAKAGE BREAKER 2 POLE </t>
  </si>
  <si>
    <t>SR NO</t>
  </si>
  <si>
    <t xml:space="preserve">COIL VOLTAGE </t>
  </si>
  <si>
    <t xml:space="preserve">PINS </t>
  </si>
  <si>
    <t>STOCK</t>
  </si>
  <si>
    <t>ISSUE</t>
  </si>
  <si>
    <t xml:space="preserve">REMANING </t>
  </si>
  <si>
    <t xml:space="preserve">TYPE </t>
  </si>
  <si>
    <t xml:space="preserve">NO/ NC </t>
  </si>
  <si>
    <t xml:space="preserve">DC BREAKER </t>
  </si>
  <si>
    <t xml:space="preserve">COIL 220V AC </t>
  </si>
  <si>
    <t>8PIN</t>
  </si>
  <si>
    <t xml:space="preserve">NPN </t>
  </si>
  <si>
    <t xml:space="preserve">NO </t>
  </si>
  <si>
    <t xml:space="preserve">4POLE WITH NEUTRAL </t>
  </si>
  <si>
    <t>COIL 12V D.C</t>
  </si>
  <si>
    <t xml:space="preserve">14PIN </t>
  </si>
  <si>
    <t>PNP</t>
  </si>
  <si>
    <t>3POLE (OPEN)</t>
  </si>
  <si>
    <t>COIL 24 V DC</t>
  </si>
  <si>
    <t xml:space="preserve">FOTEK [PS-05N]NPN </t>
  </si>
  <si>
    <t xml:space="preserve">MCCB BREAKER 3 POLE </t>
  </si>
  <si>
    <t>75A</t>
  </si>
  <si>
    <t>COIL220V AC</t>
  </si>
  <si>
    <t xml:space="preserve">14 PIN </t>
  </si>
  <si>
    <t>NC</t>
  </si>
  <si>
    <t>30A</t>
  </si>
  <si>
    <t xml:space="preserve">RELAY BASE </t>
  </si>
  <si>
    <t xml:space="preserve">NC </t>
  </si>
  <si>
    <t xml:space="preserve">8PIN </t>
  </si>
  <si>
    <t xml:space="preserve">PNP ROKO </t>
  </si>
  <si>
    <t>RELAY COIL 220V AC</t>
  </si>
  <si>
    <t xml:space="preserve">8 PIN </t>
  </si>
  <si>
    <t>INDICATIVE SENSOR (ELCO)</t>
  </si>
  <si>
    <t>COIL 24V DC</t>
  </si>
  <si>
    <t>PR 18-BC40DPR  (072114)</t>
  </si>
  <si>
    <t xml:space="preserve">RELAY COIL 24 AC </t>
  </si>
  <si>
    <t xml:space="preserve">PANEL FAN </t>
  </si>
  <si>
    <t xml:space="preserve">RELAY 24 V DC </t>
  </si>
  <si>
    <t xml:space="preserve">THEMBLE </t>
  </si>
  <si>
    <t xml:space="preserve">RELAY COIL 12V DC </t>
  </si>
  <si>
    <t xml:space="preserve">TYPES </t>
  </si>
  <si>
    <t xml:space="preserve">SIZE </t>
  </si>
  <si>
    <t xml:space="preserve">GENRAL </t>
  </si>
  <si>
    <t>35MM</t>
  </si>
  <si>
    <t>VOLT</t>
  </si>
  <si>
    <t>WATT</t>
  </si>
  <si>
    <t xml:space="preserve">REMANING STOCK </t>
  </si>
  <si>
    <t>50MM</t>
  </si>
  <si>
    <t>19W</t>
  </si>
  <si>
    <t>4 INCH</t>
  </si>
  <si>
    <t>70MM</t>
  </si>
  <si>
    <t xml:space="preserve"> </t>
  </si>
  <si>
    <t>38W</t>
  </si>
  <si>
    <t xml:space="preserve">6 INCH </t>
  </si>
  <si>
    <t>POWER FACTOR FUSE</t>
  </si>
  <si>
    <t>95MM</t>
  </si>
  <si>
    <t xml:space="preserve">65W </t>
  </si>
  <si>
    <t xml:space="preserve">8 INCH </t>
  </si>
  <si>
    <t>120MM</t>
  </si>
  <si>
    <t xml:space="preserve">CAPACITOR </t>
  </si>
  <si>
    <t>150MM</t>
  </si>
  <si>
    <t xml:space="preserve">VOLTAGE </t>
  </si>
  <si>
    <t>µf</t>
  </si>
  <si>
    <t>stock</t>
  </si>
  <si>
    <t xml:space="preserve">issue </t>
  </si>
  <si>
    <t xml:space="preserve">remaning </t>
  </si>
  <si>
    <t>FUSE AMPER</t>
  </si>
  <si>
    <t>185MM</t>
  </si>
  <si>
    <t>CAPACITOR</t>
  </si>
  <si>
    <t xml:space="preserve">400AC </t>
  </si>
  <si>
    <t>FUSE  125 AMP</t>
  </si>
  <si>
    <t>240MM</t>
  </si>
  <si>
    <t>400VAC</t>
  </si>
  <si>
    <t>FUSE  63 AMP</t>
  </si>
  <si>
    <t>5MM</t>
  </si>
  <si>
    <t>200-275</t>
  </si>
  <si>
    <t>200-250</t>
  </si>
  <si>
    <t>FUSE  35 AMP</t>
  </si>
  <si>
    <t>10MM</t>
  </si>
  <si>
    <t>80-100</t>
  </si>
  <si>
    <t>FUSE  40 AMP</t>
  </si>
  <si>
    <t xml:space="preserve">PIPE THEMBLE </t>
  </si>
  <si>
    <t>FUSE  32 AMP</t>
  </si>
  <si>
    <t xml:space="preserve">450AC </t>
  </si>
  <si>
    <t>370V</t>
  </si>
  <si>
    <t xml:space="preserve">POWER SUPPLY </t>
  </si>
  <si>
    <t xml:space="preserve">INK PUMP </t>
  </si>
  <si>
    <t>INPUT VOL AC</t>
  </si>
  <si>
    <t>OUTPUT VOLT DC</t>
  </si>
  <si>
    <t>AMP</t>
  </si>
  <si>
    <t>REMANING</t>
  </si>
  <si>
    <t xml:space="preserve">MODEL </t>
  </si>
  <si>
    <t>MEANWELL</t>
  </si>
  <si>
    <t>220V</t>
  </si>
  <si>
    <t>48V</t>
  </si>
  <si>
    <t>5A</t>
  </si>
  <si>
    <t>QSM CJ 602</t>
  </si>
  <si>
    <t xml:space="preserve">WEIDMULLUR </t>
  </si>
  <si>
    <t>100-240</t>
  </si>
  <si>
    <t>24V</t>
  </si>
  <si>
    <t>2A</t>
  </si>
  <si>
    <t>BML-2000 EX 15.</t>
  </si>
  <si>
    <t>12V</t>
  </si>
  <si>
    <t xml:space="preserve">DIAPHARAM SET WITH NOZZAL FILTER </t>
  </si>
  <si>
    <t xml:space="preserve">COSEL </t>
  </si>
  <si>
    <t xml:space="preserve">OMRON </t>
  </si>
  <si>
    <t>6.5A</t>
  </si>
  <si>
    <t xml:space="preserve">MEAN WELL </t>
  </si>
  <si>
    <t xml:space="preserve">SAKON </t>
  </si>
  <si>
    <t>100-275</t>
  </si>
  <si>
    <t>24V NOT OK</t>
  </si>
  <si>
    <t xml:space="preserve">NEW POWER  SUPPLY SITTING </t>
  </si>
  <si>
    <t>14.6A</t>
  </si>
  <si>
    <t>SSR</t>
  </si>
  <si>
    <t>INPUT PUT VOLT</t>
  </si>
  <si>
    <t>OUT PUT VOLT</t>
  </si>
  <si>
    <t>REMAINGS</t>
  </si>
  <si>
    <t>3-32VD.C</t>
  </si>
  <si>
    <t>24-380VAC</t>
  </si>
  <si>
    <t xml:space="preserve">SHANXIBARREN MACHINE PARTS </t>
  </si>
  <si>
    <t xml:space="preserve">MACHINE NAME </t>
  </si>
  <si>
    <t xml:space="preserve">PARTS NAME </t>
  </si>
  <si>
    <t xml:space="preserve">SHANXI BARREN </t>
  </si>
  <si>
    <t xml:space="preserve">LIGHT COVER </t>
  </si>
  <si>
    <t xml:space="preserve">MLS 8 WATT LED </t>
  </si>
  <si>
    <t xml:space="preserve">BEARINNG IN PLASTIC PACKING </t>
  </si>
  <si>
    <t>REGULATOR AR 20001</t>
  </si>
  <si>
    <t xml:space="preserve">SOLENOID VALUE COIL 220V </t>
  </si>
  <si>
    <t xml:space="preserve">SOLENOID VALUE COIL 24 V DC </t>
  </si>
  <si>
    <t xml:space="preserve">(ABB) MANUAL MOTOR STARTER </t>
  </si>
  <si>
    <t xml:space="preserve">1.6-2.5 RANGE </t>
  </si>
  <si>
    <t>MS 2X-2.5</t>
  </si>
  <si>
    <t xml:space="preserve">ABB CONTACTOR COIL 220V </t>
  </si>
  <si>
    <t xml:space="preserve">20A </t>
  </si>
  <si>
    <t xml:space="preserve">14 PIN RELAY BASE </t>
  </si>
  <si>
    <t>14 PIN RELAY COIL</t>
  </si>
  <si>
    <t xml:space="preserve">24V DC </t>
  </si>
  <si>
    <t xml:space="preserve">SEHNEIDER 8 PIN RELAY COIL 24V DC </t>
  </si>
  <si>
    <t xml:space="preserve">8 PIN RELAY BASE </t>
  </si>
  <si>
    <t xml:space="preserve">14PIN RELAY WITH BASE OPEN </t>
  </si>
  <si>
    <t xml:space="preserve">14PIN RELAY WITH BASE 24V COIL </t>
  </si>
  <si>
    <t xml:space="preserve">2POLE BREAKER </t>
  </si>
  <si>
    <t xml:space="preserve">SHENIDER MANUAL MOTOR STARTER </t>
  </si>
  <si>
    <t>6-10A</t>
  </si>
  <si>
    <t xml:space="preserve">SCHNEIDER CONTACTOR COIL 220V </t>
  </si>
  <si>
    <t xml:space="preserve">25A </t>
  </si>
  <si>
    <t xml:space="preserve">SEIMEN CONTROL BALL VALUE 2 PORT </t>
  </si>
  <si>
    <t>MLB 461-32-25A1</t>
  </si>
  <si>
    <t xml:space="preserve">SPRING BASE FOOT  </t>
  </si>
  <si>
    <t>OIL SEAL (100-125-12)</t>
  </si>
  <si>
    <t xml:space="preserve">STAINLESS STEEL ROD </t>
  </si>
  <si>
    <t>EPC FITTING (1 BOX )</t>
  </si>
  <si>
    <t>RINGS NSK 6206CM (241205000228)</t>
  </si>
  <si>
    <t xml:space="preserve">MANUAL MOTOR STARTER </t>
  </si>
  <si>
    <t xml:space="preserve">2.5-4A </t>
  </si>
  <si>
    <t>SHENZEBARREN (SWITCH  IN CARTON )</t>
  </si>
  <si>
    <t xml:space="preserve">P.T 100 THERMO COUPLE </t>
  </si>
  <si>
    <t>AUXILARY SWITCH WITH LIGHT (NO )(SEHNIDAR )</t>
  </si>
  <si>
    <t>EMERGENCY PUSH  (RED COLOR )</t>
  </si>
  <si>
    <t xml:space="preserve">GREEN LIGHT </t>
  </si>
  <si>
    <t xml:space="preserve">220V </t>
  </si>
  <si>
    <t xml:space="preserve">GREEN COLOR PUSH BUTTON </t>
  </si>
  <si>
    <t xml:space="preserve">SCHNIDER AUXILARY (NO) WITHOUT PUSH </t>
  </si>
  <si>
    <t>ONLY AUXILARY (NO)</t>
  </si>
  <si>
    <t xml:space="preserve">ROTATORY SWITCH  IN OPEN </t>
  </si>
  <si>
    <t>SCHNIEDER XUILARY SWITCH WIH LIGHT (NO)</t>
  </si>
  <si>
    <t>AUXILARY WITHOUT PUSH BUTTON (NO)</t>
  </si>
  <si>
    <t>AUXILARY WITHOUT PUSH BUTTON (NC)</t>
  </si>
  <si>
    <t>AUXILARY (NO)</t>
  </si>
  <si>
    <t>AUXILARY (NC)</t>
  </si>
  <si>
    <t xml:space="preserve">ROTATORY SWITCH  </t>
  </si>
  <si>
    <t>PUSH BUTTON (GREEN )</t>
  </si>
  <si>
    <t xml:space="preserve">3/4 VALUE </t>
  </si>
  <si>
    <t xml:space="preserve">3/8 VALUE </t>
  </si>
  <si>
    <t xml:space="preserve">GLAND IN OPEN BAG </t>
  </si>
  <si>
    <t xml:space="preserve">S.S PUMP FITTING </t>
  </si>
  <si>
    <t xml:space="preserve">TIMING BELT </t>
  </si>
  <si>
    <t>HTD 1470-14M</t>
  </si>
  <si>
    <t>HTD 960-8M</t>
  </si>
  <si>
    <t>HTD 896-8M</t>
  </si>
  <si>
    <t xml:space="preserve">HTD 760-8M </t>
  </si>
  <si>
    <t xml:space="preserve">HTD 1080-8M </t>
  </si>
  <si>
    <t xml:space="preserve">HTD 1568-14M </t>
  </si>
  <si>
    <t xml:space="preserve">HTD  1304-8M </t>
  </si>
  <si>
    <t xml:space="preserve">HTD 1064-8M </t>
  </si>
  <si>
    <t>IN RACK SCHNIDER AUXILARY  SWITCH (BUTTON )</t>
  </si>
  <si>
    <t xml:space="preserve">COMPLETE BUTTON WITH LIGHT NORMALY OPEN  WITH LIGHT </t>
  </si>
  <si>
    <t xml:space="preserve">ZB2BWB31C </t>
  </si>
  <si>
    <t xml:space="preserve">SCHNEIDER AUXILARY  NORMALLY CLOSE </t>
  </si>
  <si>
    <t xml:space="preserve">ZB2-B2101C </t>
  </si>
  <si>
    <t xml:space="preserve">ZB2-BZ102C </t>
  </si>
  <si>
    <t xml:space="preserve">SCHNIEDER EMERGENCY PUSH GREEN COLOUR </t>
  </si>
  <si>
    <t>ZBZ-BW33C</t>
  </si>
  <si>
    <t xml:space="preserve">SEHNEIDER ROTATORY SWITCH ONLY </t>
  </si>
  <si>
    <t xml:space="preserve">ZBZ-BD2C </t>
  </si>
  <si>
    <t>SCHNEIDER (GREEN LIGHT ONLY )</t>
  </si>
  <si>
    <t xml:space="preserve">XB2-BVB3LC </t>
  </si>
  <si>
    <t xml:space="preserve">SCHNEIDER LIGHT </t>
  </si>
  <si>
    <t xml:space="preserve">XBZ-BVM3LC </t>
  </si>
  <si>
    <t xml:space="preserve">BREAKER SINGLE POL </t>
  </si>
  <si>
    <t xml:space="preserve">8 PIN RELAY SCHNEIDER (RXM) BASE </t>
  </si>
  <si>
    <t xml:space="preserve">24VDC </t>
  </si>
  <si>
    <t xml:space="preserve">HMI TOUCH SCREEN </t>
  </si>
  <si>
    <t>DOCTOR BLADE GRAY BOX</t>
  </si>
  <si>
    <t>DOCTOR BLADE BLACK BOX</t>
  </si>
  <si>
    <t>CONES</t>
  </si>
  <si>
    <t>BOLTS WITH WESSEL</t>
  </si>
  <si>
    <t>SSR 10DA</t>
  </si>
  <si>
    <t xml:space="preserve"> PATILE BUZZER</t>
  </si>
  <si>
    <t>HMI TOUCH SCREEN  WITH CABLE</t>
  </si>
  <si>
    <t>SIEMEN VALVE ACTUATOR [AC\DC 24V]</t>
  </si>
  <si>
    <t>GLB 161.9E</t>
  </si>
  <si>
    <t>SIEMEN CONTROL BALL VALUE [2 PORT]</t>
  </si>
  <si>
    <t>VA 161.32-16</t>
  </si>
  <si>
    <t xml:space="preserve">WORLDLY GRAVOURE </t>
  </si>
  <si>
    <t>PART  NAME</t>
  </si>
  <si>
    <t>SPECIFICATION</t>
  </si>
  <si>
    <t xml:space="preserve">REMINING </t>
  </si>
  <si>
    <t>FONTAL AIR LINE COMPONENT [AIR REGULTOR]</t>
  </si>
  <si>
    <t>MODEL R364X-02</t>
  </si>
  <si>
    <t>MODELP130-OZ</t>
  </si>
  <si>
    <t>PRESSURE GUAGES</t>
  </si>
  <si>
    <t>ITEM 40-P-AP</t>
  </si>
  <si>
    <t>PNEUMATIC HAND VALUE</t>
  </si>
  <si>
    <t>E368</t>
  </si>
  <si>
    <t>TEMPERATURE CONTROLLER HONEY WELL SUPPLY 85-265V</t>
  </si>
  <si>
    <t>TYPE-1030CT-101000-E</t>
  </si>
  <si>
    <t>TEMPERATURE CONTROLLER [MI COMPANY]</t>
  </si>
  <si>
    <t>MODEL-M16-M WIT\R</t>
  </si>
  <si>
    <t>TEMPERATURE CONTROLLER [AUTONICS]</t>
  </si>
  <si>
    <t>TK-4M    B4RR</t>
  </si>
  <si>
    <t>CONTROLLER SELECTOR SWITCH</t>
  </si>
  <si>
    <t>PKN[0123] COS 36 *36</t>
  </si>
  <si>
    <t>TIMER [ANLY] SINGLE RANGE ANALOGUE TIMER</t>
  </si>
  <si>
    <t>TYPE [AH 3-3]     8PIN[220V]</t>
  </si>
  <si>
    <t>PRESSURE GUAGES SIZE [60MM]</t>
  </si>
  <si>
    <t>RANGE[0-10KG \PSI</t>
  </si>
  <si>
    <t>LIMIT SWITCH[TZ 7311 TEND]</t>
  </si>
  <si>
    <t>10A 250VAC</t>
  </si>
  <si>
    <t>APPROXIMELTLY SENSOR RIKO RN04-N</t>
  </si>
  <si>
    <t>NPN    NO</t>
  </si>
  <si>
    <t>APPROXIMELTLY SENSOR FOTEK PS-05N</t>
  </si>
  <si>
    <t>NPN [10-30VDC]</t>
  </si>
  <si>
    <t>RELAY IDEC [14 PINS] COIL 220V</t>
  </si>
  <si>
    <t>RELAY IDEC [8 PINS] COIL 220V</t>
  </si>
  <si>
    <t>FRL FONTAL SA602MD        U55-02G</t>
  </si>
  <si>
    <t>LIMIT SWITCH[MATSUSHITA] [SMALL]</t>
  </si>
  <si>
    <t>DIAPHRAME</t>
  </si>
  <si>
    <t>PUSH BUTTON</t>
  </si>
  <si>
    <t xml:space="preserve">RED </t>
  </si>
  <si>
    <t>WHITE</t>
  </si>
  <si>
    <t>EMERGENCY</t>
  </si>
  <si>
    <t>GREEN</t>
  </si>
  <si>
    <t>YELLOW</t>
  </si>
  <si>
    <t>BLUE</t>
  </si>
  <si>
    <t>AUXILARY [NO] [NC]</t>
  </si>
  <si>
    <t>SELECTOR SWITCH</t>
  </si>
  <si>
    <t>ONE BOX</t>
  </si>
  <si>
    <t>BLADE HANDLE</t>
  </si>
  <si>
    <t>FOR GOAT TIGHTEN WITH BOLTS</t>
  </si>
  <si>
    <t>ROUND WHEEL</t>
  </si>
  <si>
    <t>GOATS</t>
  </si>
  <si>
    <t>PNEUMATIC FITTING</t>
  </si>
  <si>
    <t>8 RO 2SC-O  ADJUSTABLE AIR ELBOW</t>
  </si>
  <si>
    <t>8R-01SC-0    ADJUSTABLE AIR ELBOW</t>
  </si>
  <si>
    <t>8R-03SC-0 ADJUSTABLE AIR ELBOW</t>
  </si>
  <si>
    <t>DAVEL PIN</t>
  </si>
  <si>
    <t>ONE BAG</t>
  </si>
  <si>
    <t>L SHAPE METAL FITTING</t>
  </si>
  <si>
    <t>PNEUMATIC FONTAL [ONE WAY SWITCH]</t>
  </si>
  <si>
    <t xml:space="preserve">DOCTOR BLADE 40MM </t>
  </si>
  <si>
    <t>TECO INVERTER[FOR INK ROLLER]</t>
  </si>
  <si>
    <t xml:space="preserve">SINOMECH  MACHINE PARTS </t>
  </si>
  <si>
    <t>SPCIFICATION</t>
  </si>
  <si>
    <t xml:space="preserve">SINOMECH </t>
  </si>
  <si>
    <t>ROTATRY PARTS</t>
  </si>
  <si>
    <t>GLUE MIXER</t>
  </si>
  <si>
    <t>SOLENOID VALUE DOUBLE[4V32008B]</t>
  </si>
  <si>
    <t>COIL24VDC</t>
  </si>
  <si>
    <t>SOLENOID VALUE [4V31008B]</t>
  </si>
  <si>
    <t>SOLENOID VALUE [3V31010NCB]</t>
  </si>
  <si>
    <t>REGULATOR AR2000N</t>
  </si>
  <si>
    <t>REGULATOR AR20001</t>
  </si>
  <si>
    <t>MANUAL MOTOR STARTER ABB MS2X-2.5</t>
  </si>
  <si>
    <t>1.6TO2.5</t>
  </si>
  <si>
    <t>NO OPEN SWITCH 2B2BWB31C</t>
  </si>
  <si>
    <t xml:space="preserve"> PUSH BUTTON YELLOW GREEN WHITE RED GRAY EMERGENCY</t>
  </si>
  <si>
    <t>1 PCS EACH</t>
  </si>
  <si>
    <t>ROTATRY SWITCH</t>
  </si>
  <si>
    <t>14 PIN RELAY WITH BASE</t>
  </si>
  <si>
    <t>AUXILURY [NO 2PCS][NC 2PCS]</t>
  </si>
  <si>
    <t>ROTATRY SWITCH[ONLY TOP PCS]</t>
  </si>
  <si>
    <t>EMERGENCY SWITCH[ONLY TOP PCS]</t>
  </si>
  <si>
    <t>PNP NO INB-08M18PO-Y</t>
  </si>
  <si>
    <t>AIR GUN</t>
  </si>
  <si>
    <t>GLUE NOZZEL</t>
  </si>
  <si>
    <t>GLUE FILTER</t>
  </si>
  <si>
    <t>TEFLON DAM</t>
  </si>
  <si>
    <t>ROTATRY UNION</t>
  </si>
  <si>
    <t>ELBOW 1INCN</t>
  </si>
  <si>
    <t xml:space="preserve">BELTS
</t>
  </si>
  <si>
    <t>HTD 760 8M</t>
  </si>
  <si>
    <t>HTD 896 8M</t>
  </si>
  <si>
    <t>HTD 1080 8M</t>
  </si>
  <si>
    <t>HTD 944 8M</t>
  </si>
  <si>
    <t>HTD 1064 8M</t>
  </si>
  <si>
    <t>HTD 728 8M</t>
  </si>
  <si>
    <t>SINOMECH 2 MACHINE PARTS  NEW</t>
  </si>
  <si>
    <t>COUPLING</t>
  </si>
  <si>
    <t>FILTER FOR THE MIXER</t>
  </si>
  <si>
    <t>MIXER HEAD</t>
  </si>
  <si>
    <t xml:space="preserve">MIXING GUN </t>
  </si>
  <si>
    <t>LEVEL SENSOR BAUMER [1816903\S14]</t>
  </si>
  <si>
    <t>UNAM T221</t>
  </si>
  <si>
    <t>SS</t>
  </si>
  <si>
    <t>GLUE PIPE</t>
  </si>
  <si>
    <t>O RING SMALL SIZE</t>
  </si>
  <si>
    <r>
      <rPr>
        <b/>
        <sz val="16"/>
        <color theme="1"/>
        <rFont val="Calibri"/>
        <charset val="134"/>
        <scheme val="minor"/>
      </rPr>
      <t>BELTS</t>
    </r>
    <r>
      <rPr>
        <sz val="16"/>
        <color theme="1"/>
        <rFont val="Calibri"/>
        <charset val="134"/>
        <scheme val="minor"/>
      </rPr>
      <t xml:space="preserve">
</t>
    </r>
  </si>
  <si>
    <t>HTD 824 8M</t>
  </si>
  <si>
    <t>HTD 960 8M</t>
  </si>
  <si>
    <t>HTD 1208 8M</t>
  </si>
  <si>
    <t>BAG MAKING PARTS</t>
  </si>
  <si>
    <t>PARTS NAME</t>
  </si>
  <si>
    <t xml:space="preserve">SPECITION </t>
  </si>
  <si>
    <t>STOCKS</t>
  </si>
  <si>
    <t>REMANINGS</t>
  </si>
  <si>
    <t>BAG MAKING</t>
  </si>
  <si>
    <t>SSR [10 AMP]</t>
  </si>
  <si>
    <t>NEW MACHINE[XINGTONG] 3BOX</t>
  </si>
  <si>
    <t>BOX NO 1</t>
  </si>
  <si>
    <t>THERMO COUPLE</t>
  </si>
  <si>
    <t>EMERGENCY SWITCH</t>
  </si>
  <si>
    <t>SSR [40 AMP]</t>
  </si>
  <si>
    <t>APPROXIMETLY SWITCH [NPN TOKY TC-12N4C</t>
  </si>
  <si>
    <t>BOX NO 2</t>
  </si>
  <si>
    <t>APPROXIMETLY SWITCH [PR 12-4DN]AUTONICS</t>
  </si>
  <si>
    <t>BOX NO3</t>
  </si>
  <si>
    <t>NEW MACHINE[XINGTONG]</t>
  </si>
  <si>
    <t>AIR TAC SOLENOID VALUE</t>
  </si>
  <si>
    <t>COIL 24VDC</t>
  </si>
  <si>
    <t>AIR TAC [PUSH PULL VALUE]</t>
  </si>
  <si>
    <t>PUSH PULL VALUE [ OLD ]</t>
  </si>
  <si>
    <t>CYCLINDER HSZ [SDA 20 *  25]</t>
  </si>
  <si>
    <t>CYCLINDER [AQ2A20-20CM]</t>
  </si>
  <si>
    <t>CYCLINDER HSZ [SDA 50*10]</t>
  </si>
  <si>
    <t>CYCLINDER [SMALL SIZE] NO SIZE</t>
  </si>
  <si>
    <t>8 PIN RELAY WITH BASE</t>
  </si>
  <si>
    <t>CAMERA PHOTO ELECTRIC CELL TL-50-W-815</t>
  </si>
  <si>
    <t>LEEDS 2PCS</t>
  </si>
  <si>
    <t>PUSH BUTTON IN A BAG</t>
  </si>
  <si>
    <t>NC +NO</t>
  </si>
  <si>
    <t>GREEN COLOURE</t>
  </si>
  <si>
    <t>YELLOW COLOURE</t>
  </si>
  <si>
    <t>BLACK COLOURE</t>
  </si>
  <si>
    <t xml:space="preserve">        </t>
  </si>
  <si>
    <t>FUSE HOLDER</t>
  </si>
  <si>
    <t xml:space="preserve">        BELTS</t>
  </si>
  <si>
    <t>360 H</t>
  </si>
  <si>
    <t>410H</t>
  </si>
  <si>
    <t>420H</t>
  </si>
  <si>
    <t>430H</t>
  </si>
  <si>
    <t>230H FLAT BOTTOM</t>
  </si>
  <si>
    <t>570 H FLAT BOTTOM</t>
  </si>
  <si>
    <t>540H FLAT BOTTOM</t>
  </si>
  <si>
    <t>WHITE TEFLON ROUND PIECE[ BIG SIZE ]</t>
  </si>
  <si>
    <t>BROWN TEFLOIN ROUND PIECE[ SMALL SIZE ]</t>
  </si>
  <si>
    <t>BLUE TEFLOIN ROUND PIECE[ BIG SIZE ]</t>
  </si>
  <si>
    <t>BLUE TEFLOIN ROUND PIECE[ SMALL SIZE ]</t>
  </si>
  <si>
    <t>EPC MOTOR FITTING</t>
  </si>
  <si>
    <t>VOLUME 10K</t>
  </si>
  <si>
    <t>GEAR</t>
  </si>
  <si>
    <t>ZHOU TAI FOUR SIDE SEAL[COMPLETE SET]</t>
  </si>
  <si>
    <t>GEAR 28 TEETH</t>
  </si>
  <si>
    <t>GEAR 14 TEETH</t>
  </si>
  <si>
    <t>GEAR 14 TEETH WITH CARTER PIECES</t>
  </si>
  <si>
    <t>GEAR 20TEETH [FLAT BOTTOM]</t>
  </si>
  <si>
    <t>GEAR 26 TEETH [FLAT BOTTOM</t>
  </si>
  <si>
    <t>PAYON KS-C2 [CONTAST SCANNER]</t>
  </si>
  <si>
    <t>42-52-7 OIL SEAL</t>
  </si>
  <si>
    <t>PHOTO CELL DATA LOGIC TL50-W</t>
  </si>
  <si>
    <t>TEMPERATURE CONTROLLER TC-8H[ZHOU TAI]</t>
  </si>
  <si>
    <t>TEMPERATURE CONTROLLER[ WKY-B02 ]</t>
  </si>
  <si>
    <t xml:space="preserve">VOLOUME 5KN  SAKAE FCP22E </t>
  </si>
  <si>
    <t>FLAT BOTTOM</t>
  </si>
  <si>
    <t>VIBRATING MOTOR POWER SUPPLY</t>
  </si>
  <si>
    <t xml:space="preserve">LINEAR CONTOLLER 5K </t>
  </si>
  <si>
    <t>SLIDER ZIPPER CYCLINDER</t>
  </si>
  <si>
    <t>MXH20-10Z</t>
  </si>
  <si>
    <t>MXH10 -10Z</t>
  </si>
  <si>
    <t>ROD FOR KNIFE CUTTER</t>
  </si>
  <si>
    <t>LOCAL THERMO COUPLE</t>
  </si>
  <si>
    <t>XINGTONG BEARING[WG NJ2203EM]</t>
  </si>
  <si>
    <t>BEARING SCREW SMALL</t>
  </si>
  <si>
    <t xml:space="preserve">BRAENING BOSH DIFFERENT SIZE </t>
  </si>
  <si>
    <t>BIG SCREW</t>
  </si>
  <si>
    <t>VOLUME 5K [HUIRENDIANZI]</t>
  </si>
  <si>
    <t>WDD35D4</t>
  </si>
  <si>
    <t>FISH EYE  [PHS- 10]</t>
  </si>
  <si>
    <t>FISH EYE  [PHSL- 10]</t>
  </si>
  <si>
    <t>FISH EYE [PHS -10R]</t>
  </si>
  <si>
    <t>FISH EYE[ PHS-12]</t>
  </si>
  <si>
    <t>FISH EYE[ PHSL-12]</t>
  </si>
  <si>
    <t>FISH EYE [PHSL-14]</t>
  </si>
  <si>
    <t>PNEUMATIC CYCLINDER</t>
  </si>
  <si>
    <t>CDQ2A50-50</t>
  </si>
  <si>
    <t>REGULATOR [FLAT BOTTOM]</t>
  </si>
  <si>
    <t>AR2000</t>
  </si>
  <si>
    <t>SMC REGULATOR [FLAT BOTTOM]</t>
  </si>
  <si>
    <t>IR2010-028G</t>
  </si>
  <si>
    <t>FOTEK SSR[40 DA]</t>
  </si>
  <si>
    <t>SMC GUAGE [0 TO 0.4 MPA]</t>
  </si>
  <si>
    <t>SMC PNEUMATIC CYCLINDER[ FLAT BOTTOM]</t>
  </si>
  <si>
    <t>CG2B50-10DMZ</t>
  </si>
  <si>
    <t>APPROXIMETLY SWITCH [PU BANG] FLAT BOTTOM</t>
  </si>
  <si>
    <t xml:space="preserve">IBT12-N04NA-03Y2 </t>
  </si>
  <si>
    <t>APPROXIMETLY SWITCH  WITH LIGHT</t>
  </si>
  <si>
    <t>PNEUMATIC CYCLINDER [32 * 200 ]</t>
  </si>
  <si>
    <t>SENSOR SICK P\N1219611 S\N 25340097[WITH LEED]</t>
  </si>
  <si>
    <t>KTS-WN41141142ZZZZ</t>
  </si>
  <si>
    <t>ZHOU TAI FOUR SIDE SEAL[OLD PLC WITH OUT PROG]</t>
  </si>
  <si>
    <t>FPE-C32[AFPG2543H</t>
  </si>
  <si>
    <t>COMEXI LAMINATION OLD</t>
  </si>
  <si>
    <t>PART NAME</t>
  </si>
  <si>
    <t>SPECIFICTION</t>
  </si>
  <si>
    <t>KENTAY SOLENOID DIRECTIONAL OPERTED VALUE COIL 24 VDC</t>
  </si>
  <si>
    <t>4WE6L-E\G24-NL [2015J ]</t>
  </si>
  <si>
    <t>MFZ12-37YC[4WE6D-E\G24-NL</t>
  </si>
  <si>
    <t xml:space="preserve">OMRON E2K-C25MFI CAPACITIVE PROXIMITY SWITCH </t>
  </si>
  <si>
    <t>PNP [NO ]</t>
  </si>
  <si>
    <t>SIEMENS ET2005 SC-C9VB6015[PROFINET] SIMATIC S7</t>
  </si>
  <si>
    <t>GES7151-8AB01-0ABO</t>
  </si>
  <si>
    <t>SOLENOID VALUE SMC VQC2201N-51</t>
  </si>
  <si>
    <t>SOLENOID VALUE SMC VQC2101N-51</t>
  </si>
  <si>
    <t>MIXER FITTING</t>
  </si>
  <si>
    <t xml:space="preserve">PHOENIX CONTACT SPIKE CONTROL VAL-CP-3C-350 </t>
  </si>
  <si>
    <t>MAX 125 AMP</t>
  </si>
  <si>
    <t>GLUE MIXER END CAP</t>
  </si>
  <si>
    <t>ROTARY UNION WITH BEARNING [6006]</t>
  </si>
  <si>
    <t>SENSOR FITTING[123594-01] [7376]</t>
  </si>
  <si>
    <t>FITTING SPECIAL MATERIAL SIZE BIG</t>
  </si>
  <si>
    <t>O RING BIG</t>
  </si>
  <si>
    <t>O RING SMALL</t>
  </si>
  <si>
    <t>METAL RING</t>
  </si>
  <si>
    <t xml:space="preserve">SCREW HOLE ON TOP WITH PLASTIC WASSEL </t>
  </si>
  <si>
    <t>WASSEL 4 PCS EXRTA</t>
  </si>
  <si>
    <t>BEARING LOCK INSIDE DIA 23MM</t>
  </si>
  <si>
    <t>BEARING LOCK INSIDE DIA 52MM</t>
  </si>
  <si>
    <t>SPRING</t>
  </si>
  <si>
    <t>O RING BIG SIZE  [INNER DIA 82MM ]</t>
  </si>
  <si>
    <t>O RING BIG SIZE  [INNER DIA 72MM ]</t>
  </si>
  <si>
    <t>BEARING LOCK INSIDE DIA 92MM</t>
  </si>
  <si>
    <t xml:space="preserve">SEAL 70-100-10 </t>
  </si>
  <si>
    <t>SEAL 45-65-10</t>
  </si>
  <si>
    <t>GLUE MIXER [BASE + CATA]</t>
  </si>
  <si>
    <t>DOOR FITTING</t>
  </si>
  <si>
    <t>BOLT [BIG 3PCS]  [SMALL 2PCS ]</t>
  </si>
  <si>
    <t>FITTING PLATIC OMRON [ Y92E-A34 ]</t>
  </si>
  <si>
    <t>KSM JAPAN AN10 LOCK</t>
  </si>
  <si>
    <t>LOCK WITH SCREW [53MM ]</t>
  </si>
  <si>
    <t>JEAN DOORI SHAPE ROUND</t>
  </si>
  <si>
    <t>AIR FITTING 10MM PIPE</t>
  </si>
  <si>
    <t>ONE BIG SCREW WITH BEARING [HIWIN S1306D9-2001]</t>
  </si>
  <si>
    <t>BELTS</t>
  </si>
  <si>
    <t>HTD 966- 14M- CXA</t>
  </si>
  <si>
    <t>HTD -640-8M- CXA</t>
  </si>
  <si>
    <t>640 SLV  8</t>
  </si>
  <si>
    <t>S 5M  1050</t>
  </si>
  <si>
    <t>GLUE NOZZEL NEW</t>
  </si>
  <si>
    <t>COMEXI LAMINATION NEW MACHINE</t>
  </si>
  <si>
    <t>SOLENOID VALUE SY5200-5U1[OLD VALUE IN STORE NOW]</t>
  </si>
  <si>
    <t>[NEW USE ON MACHINE9/1/26</t>
  </si>
  <si>
    <t>SOLENOID VALUE SY5100-5U1</t>
  </si>
  <si>
    <t>SENSOR GLUE PEPPERL +FUEHS[UCC1000-30GM-1UR2-V15]</t>
  </si>
  <si>
    <t>PART NO 120335</t>
  </si>
  <si>
    <t>MACHINE GLUE MIXER METAL PIECES</t>
  </si>
  <si>
    <t>[WHERE GLUE PIPE CONNECTED</t>
  </si>
  <si>
    <t>CAPACITIVE LEVEI SENSOR[CA18-CA30CAN2SPA] UB 10-40VDC</t>
  </si>
  <si>
    <t>LV1392109</t>
  </si>
  <si>
    <t>APPROXIMALTY SENSOR OMRON[PNP ][E2A-M12LNO8-M1-B2</t>
  </si>
  <si>
    <t>VOLTS 12 TO 24VDC</t>
  </si>
  <si>
    <t>O RINGS[85.32 &amp;3.53]</t>
  </si>
  <si>
    <t>TEFLON PIECES WHITE COLOURE</t>
  </si>
  <si>
    <t>ROTARTY UNION S20-1300K-01R COMPLETE KIT G3\4 RH</t>
  </si>
  <si>
    <t>ROTO FLUX</t>
  </si>
  <si>
    <t>DIAPHRAM SET AIR SIDE GREEN IR-ARO-BRYAN.OH.92973-B</t>
  </si>
  <si>
    <t>WHITE ARO A93459-4</t>
  </si>
  <si>
    <t>0 RINGS SET  0637119-44[ARO]</t>
  </si>
  <si>
    <t>4 PLASTIC BALLS</t>
  </si>
  <si>
    <t>PANEL KEY</t>
  </si>
  <si>
    <t>JUBILEE CLAMP SIZE[ 90 TO 110MM ]</t>
  </si>
  <si>
    <t>GLUE NOZZEL OLD</t>
  </si>
  <si>
    <t>1280 -RPP8  147</t>
  </si>
  <si>
    <t>1120 -RPP8 140</t>
  </si>
  <si>
    <t>BGTU -800-36UK 199K-3 [GATE POLY CHAIN CARBON]</t>
  </si>
  <si>
    <t>640 SLV8 109</t>
  </si>
  <si>
    <t>METLIZER</t>
  </si>
  <si>
    <t>PARS NAME</t>
  </si>
  <si>
    <t>REMINING</t>
  </si>
  <si>
    <t>BOX 1</t>
  </si>
  <si>
    <t>VAPORATION BOATS</t>
  </si>
  <si>
    <t>BOX 2</t>
  </si>
  <si>
    <t>BOX 3</t>
  </si>
  <si>
    <t>BOX 4</t>
  </si>
  <si>
    <t>BOX 5</t>
  </si>
  <si>
    <t>BOX 7</t>
  </si>
  <si>
    <t>BOX 8</t>
  </si>
  <si>
    <t>BOX 11</t>
  </si>
  <si>
    <t>BOX12</t>
  </si>
  <si>
    <t>BOX OVEAN</t>
  </si>
  <si>
    <t>CVC OIL</t>
  </si>
  <si>
    <t>ONE CANE</t>
  </si>
  <si>
    <t>GRAPHITE TAPE</t>
  </si>
  <si>
    <t>KENT SEAL</t>
  </si>
  <si>
    <t>SLITTING NEW SPEED 600   KESHENG</t>
  </si>
  <si>
    <t>rewinder inverter yaskawa1000 [repaired]</t>
  </si>
  <si>
    <t>tubes size 1720mm</t>
  </si>
  <si>
    <t>TUBES SIZE 1420MM</t>
  </si>
  <si>
    <t>BREAK RESISTANCE 1000W    100RJ</t>
  </si>
  <si>
    <t>BOX</t>
  </si>
  <si>
    <t>SMALL ROLLER</t>
  </si>
  <si>
    <t>RELAY WITH BASE COIL 220VAC</t>
  </si>
  <si>
    <t>VOLUME 5K OHM [WDD35D4]</t>
  </si>
  <si>
    <t>SMC AIR CONTROLLER REGULATOR</t>
  </si>
  <si>
    <t>TV1050-312N</t>
  </si>
  <si>
    <t xml:space="preserve">SENSOR DMS SOLID STATE SENSOR </t>
  </si>
  <si>
    <t>DMSG-20</t>
  </si>
  <si>
    <t>BIG CARTON</t>
  </si>
  <si>
    <t xml:space="preserve">AIR TUBES </t>
  </si>
  <si>
    <t>NAMADA</t>
  </si>
  <si>
    <t>LASER LIGHT</t>
  </si>
  <si>
    <t>DIGITAL PANEL METER [JL5135-BG]</t>
  </si>
  <si>
    <t>DC 24V</t>
  </si>
  <si>
    <t>SMC AIR REGULATOR IRI020-01  [4B1-97]</t>
  </si>
  <si>
    <t xml:space="preserve">SOLENOID VALUE [SY5120-5G-01]    </t>
  </si>
  <si>
    <t>[SY5A00]</t>
  </si>
  <si>
    <t>PUSH BUTTON[NO WITH LIGHT]</t>
  </si>
  <si>
    <t>GREEN BLUE YELLOW RED</t>
  </si>
  <si>
    <t>ROTATRY SWITCH [NO]</t>
  </si>
  <si>
    <t xml:space="preserve">       EMERGENCY </t>
  </si>
  <si>
    <t>KEY BUTTON</t>
  </si>
  <si>
    <t>BLADE</t>
  </si>
  <si>
    <t>BELTS 8M-864</t>
  </si>
  <si>
    <t>BELTS 5M -390</t>
  </si>
  <si>
    <t>BELT BOTH SIDE TEETH DBM 2304</t>
  </si>
  <si>
    <t>ONE SMALL BOX REWINDER [ WASTE]</t>
  </si>
  <si>
    <t>RE COMPANY BREAK SYSTEM</t>
  </si>
  <si>
    <t>KESHENG SPACER RING[PLACTIC]</t>
  </si>
  <si>
    <t>ROTATRY BLADE IN 2 BOX</t>
  </si>
  <si>
    <t>ROTATRY BLADE STANDS IN 3 CARTON</t>
  </si>
  <si>
    <t>METAL MOON</t>
  </si>
  <si>
    <t>PIPE FITTING BLADE</t>
  </si>
  <si>
    <t>SPACER</t>
  </si>
  <si>
    <t>SLITTING OLD 400 SPEED</t>
  </si>
  <si>
    <t>TUBES</t>
  </si>
  <si>
    <t>SWIVEL VALUE</t>
  </si>
  <si>
    <t>PRESSURE REGULTOR AIRTEC</t>
  </si>
  <si>
    <t>GR200-08</t>
  </si>
  <si>
    <t xml:space="preserve">SOLENOID VALUE [SY7120-5DZ-02]    </t>
  </si>
  <si>
    <t>ELECRONIC REGULTOR[SMC]  ITV1050-312L</t>
  </si>
  <si>
    <t>ITV2D08</t>
  </si>
  <si>
    <t>ONE CABLE [ELECTRONIC]</t>
  </si>
  <si>
    <t>FTH USB SHIELDED HIGH SPEED CABLE 2.0</t>
  </si>
  <si>
    <t xml:space="preserve">EPC CARD 400M\M </t>
  </si>
  <si>
    <t>SCANNER HEAD EPC 400M\M</t>
  </si>
  <si>
    <t>USE ON MACHINE</t>
  </si>
  <si>
    <t>ENCODER HINTKO HTR-MWB-10A-P</t>
  </si>
  <si>
    <t>11312B</t>
  </si>
  <si>
    <t>SLITTING BLADE SHIFT TEFLON PIECES</t>
  </si>
  <si>
    <t>1088-8YU</t>
  </si>
  <si>
    <t>976-8YU</t>
  </si>
  <si>
    <t>880-8YU</t>
  </si>
  <si>
    <t>S5M 1050</t>
  </si>
  <si>
    <t>REGULATOR [AR 2000-02BG]</t>
  </si>
  <si>
    <t>AR 2000-02BG</t>
  </si>
  <si>
    <t>ENCODER [C50-H-600ZCU410\S553B]</t>
  </si>
  <si>
    <t>MITSUBOSHI HTD 2198-14M</t>
  </si>
  <si>
    <t>MITSUBOSHI HTD 1360-8M</t>
  </si>
  <si>
    <t>MITSUBOSHI HTD 760-8M</t>
  </si>
  <si>
    <t>AIMUTE HTD 1064-8M</t>
  </si>
  <si>
    <t>AIMUTE HTD 944-8M</t>
  </si>
  <si>
    <t>MEGA DYNE 960 RPP8  227</t>
  </si>
  <si>
    <t>MITSUBOSHI HTD 975-5M</t>
  </si>
  <si>
    <t>MITSUBOSHI HTD 784-8M</t>
  </si>
  <si>
    <t>OPTI BELTS 8* 710</t>
  </si>
  <si>
    <t>COMRESSOR BELTS DYNA SPA 1782</t>
  </si>
  <si>
    <t>SAMPLE  BELTS</t>
  </si>
  <si>
    <t>B64</t>
  </si>
  <si>
    <t>K-29</t>
  </si>
  <si>
    <t>A-41</t>
  </si>
  <si>
    <t xml:space="preserve"> REBORN NEW MACHINE SPECIAL</t>
  </si>
  <si>
    <t xml:space="preserve">SPECIATION </t>
  </si>
  <si>
    <t>SMALL CARTON</t>
  </si>
  <si>
    <t>UV INK TANK</t>
  </si>
  <si>
    <t>SMALL RUBBER O RING</t>
  </si>
  <si>
    <t>BIG RUBBER O RING</t>
  </si>
  <si>
    <t>VALUE FOR INK</t>
  </si>
  <si>
    <t>CLAMP FOR PIPE</t>
  </si>
  <si>
    <t>PIPE</t>
  </si>
  <si>
    <t>8 *5</t>
  </si>
  <si>
    <t>5 *3</t>
  </si>
  <si>
    <t>PIPE CUT PIECE</t>
  </si>
  <si>
    <t>BLACK COLOUR</t>
  </si>
  <si>
    <t>WHITE COLOUR</t>
  </si>
  <si>
    <t>END CAP</t>
  </si>
  <si>
    <t>ONE PACKET</t>
  </si>
  <si>
    <t>PIPE CLAMP</t>
  </si>
  <si>
    <t>CARTON</t>
  </si>
  <si>
    <t>CLEANING CLOTH</t>
  </si>
  <si>
    <t>ROUND WHEEL PIPE EXTENSION</t>
  </si>
  <si>
    <t>HY P\N SCDF -A [BOTTLE]</t>
  </si>
  <si>
    <t>MICRO DIAPHRAM PUMP [600900833]</t>
  </si>
  <si>
    <t xml:space="preserve">KN-600N </t>
  </si>
  <si>
    <t>PIPE WHITE COLOUR</t>
  </si>
  <si>
    <t>S</t>
  </si>
  <si>
    <t>CARTON FOR CARDS</t>
  </si>
  <si>
    <t>CPU CARD GEN5-12H[LJ011211]</t>
  </si>
  <si>
    <t>503250700043</t>
  </si>
  <si>
    <t>GEN5-12H [LJ311010 ]</t>
  </si>
  <si>
    <t>513250500606</t>
  </si>
  <si>
    <t>INK BOARD REV4.2 [K2B-00007973]</t>
  </si>
  <si>
    <t>SN20250620</t>
  </si>
  <si>
    <t>TEMPERATURE SETTING CARD</t>
  </si>
  <si>
    <t>3M467MP200MP ADHESIVE</t>
  </si>
  <si>
    <t>STRIP WIRE</t>
  </si>
  <si>
    <t>NET WORKING CABLE</t>
  </si>
  <si>
    <t>power supply input 180-264vac</t>
  </si>
  <si>
    <t>output 37vdc[40a]</t>
  </si>
  <si>
    <t>power supply input 230vac</t>
  </si>
  <si>
    <t>output 24vdc[41.5a]</t>
  </si>
  <si>
    <t>FRL AIR REGULATOR</t>
  </si>
  <si>
    <t>HANDLE FITTING</t>
  </si>
  <si>
    <t>power supply input 100-240VAC</t>
  </si>
  <si>
    <t>output 24vdc[4.5A]</t>
  </si>
  <si>
    <t>output 24vdc[14.5A]</t>
  </si>
  <si>
    <t>power supply input 180-264VAC</t>
  </si>
  <si>
    <t>output 37vdc[54 A]</t>
  </si>
  <si>
    <t>SOLENOID VALUE</t>
  </si>
  <si>
    <t>ACQ[50* 10]</t>
  </si>
  <si>
    <t>ACQ[25 *10]</t>
  </si>
  <si>
    <t>push button  no\nc  green-1pcs red-1pcs</t>
  </si>
  <si>
    <t>rotatary switch</t>
  </si>
  <si>
    <t>2 side rotatry switch</t>
  </si>
  <si>
    <t>emergency switch</t>
  </si>
  <si>
    <t>air regulator</t>
  </si>
  <si>
    <t>leuze contrast sensor[krt-18bm-vt5\l6t-M12]</t>
  </si>
  <si>
    <t>PART50131242</t>
  </si>
  <si>
    <t>SWITCH YJ-GQ22</t>
  </si>
  <si>
    <t>24V RA</t>
  </si>
  <si>
    <t>OMRON P6BF-4BND</t>
  </si>
  <si>
    <t>24VDC</t>
  </si>
  <si>
    <t xml:space="preserve">8 PIN RELAY </t>
  </si>
  <si>
    <t>COIL 240VAC</t>
  </si>
  <si>
    <t>3 POLE BREAKER 3POLE</t>
  </si>
  <si>
    <t>16 AMP</t>
  </si>
  <si>
    <t>4 POLE BREAKER</t>
  </si>
  <si>
    <t>100 AMP</t>
  </si>
  <si>
    <t xml:space="preserve">SIGNLE POLE BREKER </t>
  </si>
  <si>
    <t xml:space="preserve">PNEUMATIC </t>
  </si>
  <si>
    <t xml:space="preserve">SPECIFICATION </t>
  </si>
  <si>
    <t>NEW PRESSURE GUAGES SIZE 100MM</t>
  </si>
  <si>
    <t>RANGE 0-16BAR</t>
  </si>
  <si>
    <t xml:space="preserve"> PRESSURE GUAGES [WIKAI]</t>
  </si>
  <si>
    <t>DRAIN VALUE WITH FILTER 1/2</t>
  </si>
  <si>
    <t>INPUT 220V</t>
  </si>
  <si>
    <t>AIR SHIFT NOZZEL</t>
  </si>
  <si>
    <t>VALUE FOR GAS AND AIR CONTROL</t>
  </si>
  <si>
    <t>COIL 24DC</t>
  </si>
  <si>
    <t>ONE SIDE FLOW VALUE</t>
  </si>
  <si>
    <t>HFS-25</t>
  </si>
  <si>
    <t>AUTO DRAIN FOR FRL</t>
  </si>
  <si>
    <t xml:space="preserve">SOLENOID VALUE </t>
  </si>
  <si>
    <t>SOLENOID VALUE SMALL SIZE</t>
  </si>
  <si>
    <t xml:space="preserve">REGULATOR </t>
  </si>
  <si>
    <t>HSZ R200</t>
  </si>
  <si>
    <t xml:space="preserve">REGULATOR  </t>
  </si>
  <si>
    <t>ZR200GZ</t>
  </si>
  <si>
    <t>REGULATOR OPEN PACKING</t>
  </si>
  <si>
    <t>AIR REGULATOR SENSOR [FOR SLITTING]</t>
  </si>
  <si>
    <t>GUAGE [0-16 BAR]</t>
  </si>
  <si>
    <t>COUPLER]8MM FITTING]</t>
  </si>
  <si>
    <t xml:space="preserve">FOR OIL DOSING HSZ </t>
  </si>
  <si>
    <t>MODEL AL2000-02</t>
  </si>
  <si>
    <t>DG 10</t>
  </si>
  <si>
    <t>AIR GUN GRAVOURE</t>
  </si>
  <si>
    <t>DIAPER CUTTING</t>
  </si>
  <si>
    <t>SPECEFICATION</t>
  </si>
  <si>
    <t>REGULATOR</t>
  </si>
  <si>
    <t>MA R200-8A-C</t>
  </si>
  <si>
    <t>SSR 25DA</t>
  </si>
  <si>
    <t>TEMPERATURE CONTROLLER</t>
  </si>
  <si>
    <t>NBF 3000</t>
  </si>
  <si>
    <t>RINGS</t>
  </si>
  <si>
    <t>HEATER</t>
  </si>
  <si>
    <t>220VOLT[ 700 WATT]</t>
  </si>
  <si>
    <t>PNEUMATIC CYCLINDER [FOR DIE]</t>
  </si>
  <si>
    <t>SIZE[32*25]</t>
  </si>
  <si>
    <t xml:space="preserve">PLASTIC GEAR </t>
  </si>
  <si>
    <t>30 TEETH</t>
  </si>
  <si>
    <t>METAL GEAR</t>
  </si>
  <si>
    <t>SMALL TEETH GEAR</t>
  </si>
  <si>
    <t>WITH BEARNING 6010</t>
  </si>
  <si>
    <t>PREPARTION GEAR</t>
  </si>
  <si>
    <t xml:space="preserve">SICK SENSOR </t>
  </si>
  <si>
    <t>WL 100-N1432</t>
  </si>
  <si>
    <t>SPRING AND BOLT</t>
  </si>
  <si>
    <t xml:space="preserve">FUSE </t>
  </si>
  <si>
    <t>10AMP</t>
  </si>
  <si>
    <t>AIR NOZZEL</t>
  </si>
  <si>
    <t>RELAY 14 PIN</t>
  </si>
  <si>
    <t>RELAY 8 PIN</t>
  </si>
  <si>
    <t>COIL 30 VDC \250V AC</t>
  </si>
  <si>
    <t>BELT 1075H</t>
  </si>
  <si>
    <t>BELT 880-8M</t>
  </si>
  <si>
    <t>BELT 225L</t>
  </si>
  <si>
    <t>DIE PIECE DIFFIRINT SIZE</t>
  </si>
  <si>
    <t>[10MM][8MM][6MM]</t>
  </si>
  <si>
    <t>RELAY WITH BASE[FV-B02]SYR</t>
  </si>
  <si>
    <t>WITH BASE</t>
  </si>
  <si>
    <t xml:space="preserve">3 LAYER EXTRUDER </t>
  </si>
  <si>
    <t>PLC[OMRON G9 SP</t>
  </si>
  <si>
    <t>SAFETY CONTROLLER</t>
  </si>
  <si>
    <t>SIEMEN STARTER SWITCH [SIRUS]</t>
  </si>
  <si>
    <t>G\150529[E.07] 3RV1011-OCA15]</t>
  </si>
  <si>
    <t>CONTROL CARD [PSG\D-68309 MANNHEIM</t>
  </si>
  <si>
    <t>HW 300003 SW 001001</t>
  </si>
  <si>
    <t>SSW 120 [A060A] HW 300001</t>
  </si>
  <si>
    <t>SMALL SCREEN [B &amp; R][WINDER</t>
  </si>
  <si>
    <t>B3C50170281[4PPO65.0571-KO6</t>
  </si>
  <si>
    <t>POSI DRIVE [STOBER] HW233 FDS5022 A\L</t>
  </si>
  <si>
    <t>V 5.6R   S\N 8545763</t>
  </si>
  <si>
    <t>POSI DRIVE [STOBER] HW227 FDS5015 A\L</t>
  </si>
  <si>
    <t>KT.N.R 55415 S\N 8793662</t>
  </si>
  <si>
    <t>POSI DRIVE [STOBER] HW231 FDS5008 A\L</t>
  </si>
  <si>
    <t xml:space="preserve"> KT.NR 55414 S\N 8540337</t>
  </si>
  <si>
    <t>POSI DRIVE [STOBER] HW231 FDS5040 A\L</t>
  </si>
  <si>
    <t>KT.N.R 55417 S\N 8541074</t>
  </si>
  <si>
    <t>POSI DRIVE [STOBER] HW233 FDS5075 A\L</t>
  </si>
  <si>
    <t>KT.NR 55419  S\N8546341</t>
  </si>
  <si>
    <t>ENCODER BAUMER [GXU5S.Z01]</t>
  </si>
  <si>
    <t>101257326.012  [10-30VDC] 5% RW</t>
  </si>
  <si>
    <t>ENCODER BAUMER [GBU5S.Z01]</t>
  </si>
  <si>
    <t>101353712.007[10-30VDC 5%RW</t>
  </si>
  <si>
    <t>RANGE[1.1 TO1.6A][3RV1011-1AA15]</t>
  </si>
  <si>
    <t>RANGE[22 TO32A][3RV1031-4EA10]</t>
  </si>
  <si>
    <t>CONTACTOR SIEMEN [COIL 4-30VDC]</t>
  </si>
  <si>
    <t>3RF 2410-1AB45</t>
  </si>
  <si>
    <t>CONTACTOR SIEMEN COIL 24VDC</t>
  </si>
  <si>
    <t>3RT1024-1B</t>
  </si>
  <si>
    <t>3RT 1016-1BB41 [22 AMP]</t>
  </si>
  <si>
    <t>OMRON SAFETY RELAY UNIT</t>
  </si>
  <si>
    <t>EXPANSION UNIT [G9SA-EX301]</t>
  </si>
  <si>
    <t>PEPPERL + FUCHS [PART NO-559539]</t>
  </si>
  <si>
    <t>3RG 6343-3AB00-PF</t>
  </si>
  <si>
    <t>OMRON PROXIMITY SENSOR</t>
  </si>
  <si>
    <t>E2A-M18LS05-M1-B1</t>
  </si>
  <si>
    <t>PEPPERL + FUCHS [PART NO-552501]</t>
  </si>
  <si>
    <t>3RG 4013-3AG33-PF</t>
  </si>
  <si>
    <t>OMRON PROXIMITY SENSOR [WINDER]</t>
  </si>
  <si>
    <t>PNP[NO] ONE O.K &amp; ONE FAULTY</t>
  </si>
  <si>
    <t>LIMIT SWITCH PIZZATO  FR531-M2</t>
  </si>
  <si>
    <t>J15FRI-206389</t>
  </si>
  <si>
    <t>GEFRAN F049179[7855W300715]</t>
  </si>
  <si>
    <t>GRD-12500-60 [165.3MM]</t>
  </si>
  <si>
    <t>NANOTEC PDZ-T5718D2904-KKIE</t>
  </si>
  <si>
    <t>FA 649073 [SMALL SERVO]</t>
  </si>
  <si>
    <t>REIFENHAUSER BLOWN FILM 249012</t>
  </si>
  <si>
    <t>ART NR 005026032</t>
  </si>
  <si>
    <t xml:space="preserve">SIEMENS FUSE </t>
  </si>
  <si>
    <t>40 AMP ONE PCS &amp; 200 AMP ONE PCS</t>
  </si>
  <si>
    <t>ACE TUBES TR 43-25</t>
  </si>
  <si>
    <t>PIL ULTRASONIC SENSOR [ARTIKE 516741]</t>
  </si>
  <si>
    <t>P49-30-M18-1-CM12-S346 [E349911]</t>
  </si>
  <si>
    <t>TRANSFORMER [MARTIG NONI ELETTRO TECNICA</t>
  </si>
  <si>
    <t>ELECTRONIC CARD [24 POINT]</t>
  </si>
  <si>
    <t>GDM2-R2-1 REV2</t>
  </si>
  <si>
    <t>ELECTRONIC CARD STOBER CAN5000</t>
  </si>
  <si>
    <t>S\N 8646428 SW2.2   HW 12</t>
  </si>
  <si>
    <t>SIEMEN LZS RT 78725[BASE] WITH RELAY 8 PINS</t>
  </si>
  <si>
    <t>SCH RACK AT 314024</t>
  </si>
  <si>
    <t xml:space="preserve">SIEMEN RELAY </t>
  </si>
  <si>
    <t>3TX 7004-1LB02</t>
  </si>
  <si>
    <t>3RT 1926-1BB00</t>
  </si>
  <si>
    <t>3RT 1916-1BB00</t>
  </si>
  <si>
    <t>SILICON DRIVE[MEMORY CARD] 512 MB PATA</t>
  </si>
  <si>
    <t>SSD-CSIM-3576</t>
  </si>
  <si>
    <t>OMRON P7SA-10F-ND [BASE]</t>
  </si>
  <si>
    <t>CARLO RAWAZIO</t>
  </si>
  <si>
    <t>VA 18CLD05PPTR</t>
  </si>
  <si>
    <t>FESTO 150857 F613</t>
  </si>
  <si>
    <t>PROCON WALTHEL</t>
  </si>
  <si>
    <t>[P713806MV]</t>
  </si>
  <si>
    <t>BELTS 1 NEW BIG SIZE</t>
  </si>
  <si>
    <t>BELT OPTI BELT 5M  25</t>
  </si>
  <si>
    <t>WITH OUT JOINT</t>
  </si>
  <si>
    <t>BELT OPTI BELT SK SPZ710LW</t>
  </si>
  <si>
    <t>MEGA DYNE SPZ-700</t>
  </si>
  <si>
    <t xml:space="preserve">SILICON ROUND TUBE </t>
  </si>
  <si>
    <t xml:space="preserve">SMALL RADITOR </t>
  </si>
  <si>
    <t>PLC MODULE</t>
  </si>
  <si>
    <t>X20 IF 2772</t>
  </si>
  <si>
    <t>X20 BC 0083</t>
  </si>
  <si>
    <t>X20 BB 80</t>
  </si>
  <si>
    <t>X20 IF 1061-1</t>
  </si>
  <si>
    <t>X20 BC 0083 &amp; X20 BB 80</t>
  </si>
  <si>
    <t>X20 BM 11</t>
  </si>
  <si>
    <t>X20 PS 2100</t>
  </si>
  <si>
    <t>X20 DO 9322</t>
  </si>
  <si>
    <t>X20 PS 9400</t>
  </si>
  <si>
    <t>X20 BM 05</t>
  </si>
  <si>
    <t>X20 D1 9371</t>
  </si>
  <si>
    <t>X20 BM 15</t>
  </si>
  <si>
    <t>X20 BM 01</t>
  </si>
  <si>
    <t>X20 A0 4622</t>
  </si>
  <si>
    <t>X20 A1 4622</t>
  </si>
  <si>
    <t>X20 DC 2395</t>
  </si>
  <si>
    <t>X20 2F 0000</t>
  </si>
  <si>
    <t>X20 DO 2395</t>
  </si>
  <si>
    <t>X20 DS 1319</t>
  </si>
  <si>
    <t>X20 AT 6402</t>
  </si>
  <si>
    <t>B &amp; R COMMUNICATION PLC</t>
  </si>
  <si>
    <t>0 AC 808 [SUPPLY + 24VD.C</t>
  </si>
  <si>
    <t>PLC B&amp; R  X20 CP 3485-1</t>
  </si>
  <si>
    <t>X20 CP 3485-1</t>
  </si>
  <si>
    <t>WIRE BASE PLC DDV CPPE-PS</t>
  </si>
  <si>
    <t>230V \10A\ 0.08-2.5MM</t>
  </si>
  <si>
    <t xml:space="preserve">WIRES </t>
  </si>
  <si>
    <t>GREEN COLOURE WIRE WITH JACK</t>
  </si>
  <si>
    <t>GRAY WIRE WITH SOLENOID VALUE AND JACK</t>
  </si>
  <si>
    <t>GRAY WIRE 3 CORE</t>
  </si>
  <si>
    <t xml:space="preserve">MOLEX WIRE </t>
  </si>
  <si>
    <t>OCD-60005-OH</t>
  </si>
  <si>
    <t>THERMOCOUPLE</t>
  </si>
  <si>
    <t>THERMOCOUPLE SPECIAL LOCK</t>
  </si>
  <si>
    <t>THERMOCOUPLE LONG WIRE</t>
  </si>
  <si>
    <t>THERMOCOUPLE IN PACKING</t>
  </si>
  <si>
    <t>HEATER WIRE</t>
  </si>
  <si>
    <t>OLD THERMOCOUPLE</t>
  </si>
  <si>
    <t>HEATER 480 V AND 700 WATT</t>
  </si>
  <si>
    <t>HEATER 3 LAYER</t>
  </si>
  <si>
    <t xml:space="preserve">BIG HEATER </t>
  </si>
  <si>
    <t>HEIGHT=140MM     ROUND=1700MM</t>
  </si>
  <si>
    <t>HEIGHT=155MM     ROUND=1720MM</t>
  </si>
  <si>
    <t>SMALL HEATER</t>
  </si>
  <si>
    <t>HEIGHT=170MM     ROUND=960MM</t>
  </si>
  <si>
    <t>HEIGHT=55MM     ROUND=1260MM</t>
  </si>
  <si>
    <t>ROUND HEATER 1800 WATT 5329459 [400 V]</t>
  </si>
  <si>
    <t>HEIGHT=560MM     ROUND=250MM</t>
  </si>
  <si>
    <t>HEIGHT=35MM     ROUND=1960MM</t>
  </si>
  <si>
    <t>HEIGHT=32MM     ROUND=900MM</t>
  </si>
  <si>
    <t>HEIGHT=32MM     ROUND=960MM</t>
  </si>
  <si>
    <t>HEIGHT=32MM     ROUND=760MM</t>
  </si>
  <si>
    <t xml:space="preserve">LOCAL HEATER 440V </t>
  </si>
  <si>
    <t>HEIGHT=40MM     ROUND=940MM</t>
  </si>
  <si>
    <t>HEIGHT=43MM     ROUND=820MM</t>
  </si>
  <si>
    <t xml:space="preserve"> HEATER </t>
  </si>
  <si>
    <t>HEIGHT=34MM     ROUND=820MM</t>
  </si>
  <si>
    <t>HEIGHT=30MM     ROUND=765MM</t>
  </si>
  <si>
    <t>HEIGHT=28MM     ROUND=750MM</t>
  </si>
  <si>
    <t>HEIGHT=54MM     ROUND=530MM</t>
  </si>
  <si>
    <t>HEIGHT=130MM     ROUND=500MM</t>
  </si>
  <si>
    <t>HEIGHT=265MM     ROUND=300MM</t>
  </si>
  <si>
    <t>HEIGHT=37MM     ROUND=765MM</t>
  </si>
  <si>
    <t xml:space="preserve"> DIE LIPS  2.5MM</t>
  </si>
  <si>
    <t>THERMOCOUPLE LOCK METAL</t>
  </si>
  <si>
    <t>LOAD CELL ACECELLS [WL 1022]</t>
  </si>
  <si>
    <t>S\N20060064 EMAX-20KG</t>
  </si>
  <si>
    <t>LOAD CELL ACECELLS [WL 1041]</t>
  </si>
  <si>
    <t>S\N1909017 EMAX-50KG</t>
  </si>
  <si>
    <t>LOAD CELL ACECELLS [WL 1241]</t>
  </si>
  <si>
    <t>S\N20010028 EMAX-100KG</t>
  </si>
  <si>
    <t>LOAD CELL OLD 50KG</t>
  </si>
  <si>
    <t>MONO LAYER</t>
  </si>
  <si>
    <t>CIL JECT SPRAY</t>
  </si>
  <si>
    <t>GENERAL USE</t>
  </si>
  <si>
    <t xml:space="preserve">MONO LAYER EXTRUDER </t>
  </si>
  <si>
    <t>REMANNINGS</t>
  </si>
  <si>
    <t>SSR RM400V 50A</t>
  </si>
  <si>
    <t>SCHNEIDER RELAY[8 PINS]</t>
  </si>
  <si>
    <t>RXM 24VDC[WITH BASE]</t>
  </si>
  <si>
    <t>CONNECTOR [LC 1N0610]</t>
  </si>
  <si>
    <t>COIL 220V [20AMP]</t>
  </si>
  <si>
    <t>CONNECTOR [LC 1N3210M5N]</t>
  </si>
  <si>
    <t>COIL 220V [40AMP]</t>
  </si>
  <si>
    <t>AIR CYCLINDER SENSOR[AIR TEC]</t>
  </si>
  <si>
    <t>CMS REED SENSOR[CMSG-020]</t>
  </si>
  <si>
    <t>DIE THERMOCOUPLE</t>
  </si>
  <si>
    <t>AMPHER INDICATOR METER</t>
  </si>
  <si>
    <t>RANGE [0-60AMP]</t>
  </si>
  <si>
    <t>PNEUMATIC CONTROL TAKE UP ROLLER</t>
  </si>
  <si>
    <t>APPROXIMELTLY SENSOR [3 WIRE]</t>
  </si>
  <si>
    <t>BAR CODE[18976120997030</t>
  </si>
  <si>
    <t>APPROXIMELTLY SENSOR BUIACS</t>
  </si>
  <si>
    <t>SN10-P</t>
  </si>
  <si>
    <t>APPROXIMELTLY SENSOR OMRON</t>
  </si>
  <si>
    <t>TL-N10MP1</t>
  </si>
  <si>
    <t>TREATER SPACER</t>
  </si>
  <si>
    <t>SELECTOR SWITCH[YELLOW COLOURE]</t>
  </si>
  <si>
    <t xml:space="preserve">START\ STOP SWITCH </t>
  </si>
  <si>
    <t>ABB MCB-01</t>
  </si>
  <si>
    <t>PUSH BUTTON ONLY[GREEN]</t>
  </si>
  <si>
    <t>ZB2-BA3C</t>
  </si>
  <si>
    <t>PUSH BUTTON ONLY[RED]</t>
  </si>
  <si>
    <t>ZB2-BA4C</t>
  </si>
  <si>
    <t>SELECTOR SWITCH ONLY</t>
  </si>
  <si>
    <t>ZB2-BD2C</t>
  </si>
  <si>
    <t>AUXILARY SWITCH [NC]</t>
  </si>
  <si>
    <t>ZB2-BZ102C</t>
  </si>
  <si>
    <t>AUXILARY SWITCH [NO]</t>
  </si>
  <si>
    <t>ZB2-BZ101C</t>
  </si>
  <si>
    <t>CORONA CARD FOR TREATER</t>
  </si>
  <si>
    <t>NTSX CORONA V7.1</t>
  </si>
  <si>
    <t>BREAKER 3 POLE 40AMP</t>
  </si>
  <si>
    <t>SMALL CARD</t>
  </si>
  <si>
    <t>MONO LAYER CRUSER BLADE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</si>
</sst>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57">
    <font>
      <sz val="11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36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8" tint="-0.25"/>
      <name val="Calibri"/>
      <charset val="134"/>
      <scheme val="minor"/>
    </font>
    <font>
      <b/>
      <sz val="28"/>
      <color theme="7" tint="0.4"/>
      <name val="Calibri"/>
      <charset val="134"/>
      <scheme val="minor"/>
    </font>
    <font>
      <b/>
      <sz val="11"/>
      <color theme="7" tint="0.4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sz val="11"/>
      <color theme="5" tint="-0.249977111117893"/>
      <name val="Calibri"/>
      <charset val="134"/>
      <scheme val="minor"/>
    </font>
    <font>
      <b/>
      <sz val="11"/>
      <color theme="5" tint="-0.249977111117893"/>
      <name val="Calibri"/>
      <charset val="134"/>
      <scheme val="minor"/>
    </font>
    <font>
      <b/>
      <i/>
      <sz val="12"/>
      <color theme="5" tint="-0.249977111117893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36"/>
      <color theme="8" tint="-0.249977111117893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2"/>
      <color theme="5" tint="-0.249977111117893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5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double">
        <color rgb="FF3F3F3F"/>
      </bottom>
      <diagonal/>
    </border>
    <border>
      <left style="medium">
        <color auto="1"/>
      </left>
      <right/>
      <top style="double">
        <color rgb="FF3F3F3F"/>
      </top>
      <bottom style="double">
        <color rgb="FF3F3F3F"/>
      </bottom>
      <diagonal/>
    </border>
    <border>
      <left style="medium">
        <color auto="1"/>
      </left>
      <right/>
      <top style="double">
        <color rgb="FF3F3F3F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8" fillId="2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33" borderId="52" applyNumberFormat="0" applyAlignment="0" applyProtection="0">
      <alignment vertical="center"/>
    </xf>
    <xf numFmtId="0" fontId="44" fillId="0" borderId="53" applyNumberFormat="0" applyFill="0" applyAlignment="0" applyProtection="0">
      <alignment vertical="center"/>
    </xf>
    <xf numFmtId="0" fontId="0" fillId="35" borderId="55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3" fillId="0" borderId="53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42" borderId="57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4" fillId="29" borderId="0" applyNumberFormat="0" applyBorder="0" applyAlignment="0" applyProtection="0"/>
    <xf numFmtId="0" fontId="52" fillId="45" borderId="58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4" fillId="45" borderId="57" applyNumberFormat="0" applyAlignment="0" applyProtection="0">
      <alignment vertical="center"/>
    </xf>
    <xf numFmtId="0" fontId="50" fillId="0" borderId="56" applyNumberFormat="0" applyFill="0" applyAlignment="0" applyProtection="0">
      <alignment vertical="center"/>
    </xf>
    <xf numFmtId="0" fontId="53" fillId="0" borderId="59" applyNumberFormat="0" applyFill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</cellStyleXfs>
  <cellXfs count="30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wrapText="1"/>
    </xf>
    <xf numFmtId="0" fontId="0" fillId="9" borderId="1" xfId="0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6" borderId="1" xfId="0" applyFont="1" applyFill="1" applyBorder="1"/>
    <xf numFmtId="0" fontId="5" fillId="0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3" fillId="10" borderId="1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8" fillId="9" borderId="0" xfId="0" applyFont="1" applyFill="1" applyAlignment="1">
      <alignment wrapText="1"/>
    </xf>
    <xf numFmtId="0" fontId="8" fillId="9" borderId="0" xfId="0" applyFont="1" applyFill="1"/>
    <xf numFmtId="0" fontId="8" fillId="0" borderId="0" xfId="0" applyFont="1"/>
    <xf numFmtId="0" fontId="12" fillId="12" borderId="0" xfId="0" applyFont="1" applyFill="1" applyAlignment="1">
      <alignment horizontal="center" vertical="center"/>
    </xf>
    <xf numFmtId="0" fontId="8" fillId="0" borderId="1" xfId="0" applyFont="1" applyBorder="1"/>
    <xf numFmtId="0" fontId="8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5" fillId="15" borderId="4" xfId="0" applyFont="1" applyFill="1" applyBorder="1" applyAlignment="1">
      <alignment horizontal="center"/>
    </xf>
    <xf numFmtId="0" fontId="15" fillId="15" borderId="5" xfId="0" applyFont="1" applyFill="1" applyBorder="1" applyAlignment="1">
      <alignment horizontal="center"/>
    </xf>
    <xf numFmtId="0" fontId="15" fillId="15" borderId="0" xfId="0" applyFont="1" applyFill="1" applyAlignment="1">
      <alignment horizontal="center"/>
    </xf>
    <xf numFmtId="0" fontId="15" fillId="15" borderId="6" xfId="0" applyFont="1" applyFill="1" applyBorder="1" applyAlignment="1">
      <alignment horizontal="center"/>
    </xf>
    <xf numFmtId="0" fontId="15" fillId="15" borderId="7" xfId="0" applyFont="1" applyFill="1" applyBorder="1" applyAlignment="1">
      <alignment horizontal="center"/>
    </xf>
    <xf numFmtId="0" fontId="15" fillId="15" borderId="8" xfId="0" applyFont="1" applyFill="1" applyBorder="1" applyAlignment="1">
      <alignment horizontal="center"/>
    </xf>
    <xf numFmtId="0" fontId="15" fillId="1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/>
    </xf>
    <xf numFmtId="0" fontId="16" fillId="6" borderId="6" xfId="0" applyFont="1" applyFill="1" applyBorder="1" applyAlignment="1">
      <alignment horizontal="center"/>
    </xf>
    <xf numFmtId="0" fontId="2" fillId="14" borderId="0" xfId="0" applyFont="1" applyFill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/>
    <xf numFmtId="0" fontId="8" fillId="17" borderId="1" xfId="0" applyFont="1" applyFill="1" applyBorder="1"/>
    <xf numFmtId="0" fontId="8" fillId="18" borderId="1" xfId="0" applyFont="1" applyFill="1" applyBorder="1" applyAlignment="1">
      <alignment horizontal="center" vertical="center"/>
    </xf>
    <xf numFmtId="0" fontId="17" fillId="15" borderId="11" xfId="0" applyFont="1" applyFill="1" applyBorder="1" applyAlignment="1">
      <alignment horizontal="center"/>
    </xf>
    <xf numFmtId="0" fontId="17" fillId="15" borderId="12" xfId="0" applyFont="1" applyFill="1" applyBorder="1" applyAlignment="1">
      <alignment horizontal="center"/>
    </xf>
    <xf numFmtId="0" fontId="17" fillId="15" borderId="13" xfId="0" applyFont="1" applyFill="1" applyBorder="1" applyAlignment="1">
      <alignment horizontal="center"/>
    </xf>
    <xf numFmtId="0" fontId="17" fillId="15" borderId="14" xfId="0" applyFont="1" applyFill="1" applyBorder="1" applyAlignment="1">
      <alignment horizontal="center"/>
    </xf>
    <xf numFmtId="0" fontId="17" fillId="15" borderId="0" xfId="0" applyFont="1" applyFill="1" applyAlignment="1">
      <alignment horizontal="center"/>
    </xf>
    <xf numFmtId="0" fontId="17" fillId="15" borderId="15" xfId="0" applyFont="1" applyFill="1" applyBorder="1" applyAlignment="1">
      <alignment horizontal="center"/>
    </xf>
    <xf numFmtId="0" fontId="10" fillId="11" borderId="16" xfId="0" applyFont="1" applyFill="1" applyBorder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8" fillId="0" borderId="5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12" fillId="2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6" borderId="1" xfId="0" applyFont="1" applyFill="1" applyBorder="1"/>
    <xf numFmtId="0" fontId="3" fillId="14" borderId="1" xfId="0" applyFont="1" applyFill="1" applyBorder="1" applyAlignment="1"/>
    <xf numFmtId="0" fontId="3" fillId="14" borderId="1" xfId="0" applyFont="1" applyFill="1" applyBorder="1"/>
    <xf numFmtId="0" fontId="6" fillId="14" borderId="1" xfId="0" applyFont="1" applyFill="1" applyBorder="1"/>
    <xf numFmtId="0" fontId="6" fillId="14" borderId="1" xfId="0" applyFont="1" applyFill="1" applyBorder="1" applyAlignment="1">
      <alignment horizontal="center" vertical="center"/>
    </xf>
    <xf numFmtId="0" fontId="6" fillId="0" borderId="1" xfId="0" applyFont="1" applyBorder="1" applyAlignment="1"/>
    <xf numFmtId="0" fontId="6" fillId="6" borderId="1" xfId="0" applyFont="1" applyFill="1" applyBorder="1"/>
    <xf numFmtId="0" fontId="8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10" borderId="1" xfId="0" applyFont="1" applyFill="1" applyBorder="1"/>
    <xf numFmtId="0" fontId="6" fillId="10" borderId="1" xfId="0" applyFont="1" applyFill="1" applyBorder="1"/>
    <xf numFmtId="0" fontId="3" fillId="0" borderId="1" xfId="0" applyFont="1" applyBorder="1" applyAlignment="1">
      <alignment horizontal="center"/>
    </xf>
    <xf numFmtId="0" fontId="22" fillId="21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23" fillId="14" borderId="17" xfId="0" applyFont="1" applyFill="1" applyBorder="1" applyAlignment="1">
      <alignment horizontal="center" vertical="center" wrapText="1"/>
    </xf>
    <xf numFmtId="0" fontId="23" fillId="14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23" borderId="20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23" borderId="1" xfId="0" applyFont="1" applyFill="1" applyBorder="1" applyAlignment="1">
      <alignment vertical="center" wrapText="1"/>
    </xf>
    <xf numFmtId="0" fontId="12" fillId="2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8" fillId="23" borderId="1" xfId="0" applyFont="1" applyFill="1" applyBorder="1" applyAlignment="1">
      <alignment vertical="center"/>
    </xf>
    <xf numFmtId="0" fontId="8" fillId="23" borderId="0" xfId="0" applyFont="1" applyFill="1" applyAlignment="1">
      <alignment vertical="center"/>
    </xf>
    <xf numFmtId="0" fontId="8" fillId="23" borderId="0" xfId="0" applyFont="1" applyFill="1"/>
    <xf numFmtId="0" fontId="1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3" borderId="1" xfId="0" applyFill="1" applyBorder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16" fontId="10" fillId="0" borderId="1" xfId="0" applyNumberFormat="1" applyFont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0" fillId="0" borderId="0" xfId="0" applyFont="1"/>
    <xf numFmtId="0" fontId="1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4" fillId="0" borderId="0" xfId="0" applyFont="1"/>
    <xf numFmtId="0" fontId="22" fillId="6" borderId="11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2" fillId="6" borderId="14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0" fontId="10" fillId="23" borderId="24" xfId="0" applyFont="1" applyFill="1" applyBorder="1" applyAlignment="1">
      <alignment horizontal="center" vertical="center" wrapText="1"/>
    </xf>
    <xf numFmtId="0" fontId="25" fillId="23" borderId="1" xfId="0" applyFont="1" applyFill="1" applyBorder="1" applyAlignment="1">
      <alignment horizontal="center" vertical="center"/>
    </xf>
    <xf numFmtId="0" fontId="10" fillId="23" borderId="18" xfId="0" applyFont="1" applyFill="1" applyBorder="1" applyAlignment="1">
      <alignment horizontal="center" vertical="center" wrapText="1"/>
    </xf>
    <xf numFmtId="0" fontId="0" fillId="0" borderId="24" xfId="0" applyBorder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" fillId="23" borderId="18" xfId="0" applyFont="1" applyFill="1" applyBorder="1" applyAlignment="1">
      <alignment horizontal="center" vertical="center"/>
    </xf>
    <xf numFmtId="0" fontId="0" fillId="0" borderId="25" xfId="0" applyBorder="1"/>
    <xf numFmtId="0" fontId="26" fillId="0" borderId="26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23" borderId="27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18" fillId="6" borderId="14" xfId="0" applyFont="1" applyFill="1" applyBorder="1" applyAlignment="1">
      <alignment horizontal="center" vertical="center"/>
    </xf>
    <xf numFmtId="0" fontId="18" fillId="6" borderId="0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8" fillId="6" borderId="29" xfId="0" applyFont="1" applyFill="1" applyBorder="1" applyAlignment="1">
      <alignment horizontal="center" vertical="center"/>
    </xf>
    <xf numFmtId="0" fontId="18" fillId="6" borderId="3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wrapText="1"/>
    </xf>
    <xf numFmtId="0" fontId="27" fillId="24" borderId="10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0" fontId="27" fillId="24" borderId="32" xfId="0" applyFont="1" applyFill="1" applyBorder="1" applyAlignment="1">
      <alignment horizontal="center" vertical="center" wrapText="1"/>
    </xf>
    <xf numFmtId="0" fontId="28" fillId="0" borderId="24" xfId="0" applyFont="1" applyBorder="1"/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/>
    <xf numFmtId="0" fontId="27" fillId="23" borderId="18" xfId="0" applyFont="1" applyFill="1" applyBorder="1" applyAlignment="1">
      <alignment horizontal="center" vertical="center"/>
    </xf>
    <xf numFmtId="0" fontId="28" fillId="0" borderId="33" xfId="0" applyFont="1" applyBorder="1"/>
    <xf numFmtId="0" fontId="26" fillId="0" borderId="20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0" xfId="0" applyFont="1" applyBorder="1"/>
    <xf numFmtId="0" fontId="27" fillId="23" borderId="34" xfId="0" applyFont="1" applyFill="1" applyBorder="1" applyAlignment="1">
      <alignment horizontal="center" vertical="center"/>
    </xf>
    <xf numFmtId="0" fontId="18" fillId="6" borderId="35" xfId="0" applyFont="1" applyFill="1" applyBorder="1" applyAlignment="1">
      <alignment horizontal="center"/>
    </xf>
    <xf numFmtId="0" fontId="18" fillId="6" borderId="36" xfId="0" applyFont="1" applyFill="1" applyBorder="1" applyAlignment="1">
      <alignment horizontal="center"/>
    </xf>
    <xf numFmtId="0" fontId="18" fillId="6" borderId="37" xfId="0" applyFont="1" applyFill="1" applyBorder="1" applyAlignment="1">
      <alignment horizontal="center"/>
    </xf>
    <xf numFmtId="0" fontId="2" fillId="24" borderId="24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1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4" fillId="25" borderId="11" xfId="0" applyFont="1" applyFill="1" applyBorder="1" applyAlignment="1">
      <alignment horizontal="center" vertical="center"/>
    </xf>
    <xf numFmtId="0" fontId="14" fillId="25" borderId="12" xfId="0" applyFont="1" applyFill="1" applyBorder="1" applyAlignment="1">
      <alignment horizontal="center" vertical="center"/>
    </xf>
    <xf numFmtId="0" fontId="14" fillId="25" borderId="14" xfId="0" applyFont="1" applyFill="1" applyBorder="1" applyAlignment="1">
      <alignment horizontal="center" vertical="center"/>
    </xf>
    <xf numFmtId="0" fontId="14" fillId="25" borderId="0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27" fillId="23" borderId="17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10" fillId="23" borderId="38" xfId="0" applyFont="1" applyFill="1" applyBorder="1" applyAlignment="1">
      <alignment horizontal="center" vertical="center" wrapText="1"/>
    </xf>
    <xf numFmtId="0" fontId="10" fillId="23" borderId="39" xfId="0" applyFont="1" applyFill="1" applyBorder="1" applyAlignment="1">
      <alignment horizontal="center" vertical="center"/>
    </xf>
    <xf numFmtId="0" fontId="10" fillId="23" borderId="40" xfId="0" applyFont="1" applyFill="1" applyBorder="1" applyAlignment="1">
      <alignment horizontal="center" vertical="center" wrapText="1"/>
    </xf>
    <xf numFmtId="0" fontId="0" fillId="0" borderId="31" xfId="0" applyBorder="1"/>
    <xf numFmtId="0" fontId="2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3" borderId="4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0" borderId="33" xfId="0" applyBorder="1"/>
    <xf numFmtId="0" fontId="2" fillId="23" borderId="34" xfId="0" applyFont="1" applyFill="1" applyBorder="1" applyAlignment="1">
      <alignment horizontal="center" vertical="center"/>
    </xf>
    <xf numFmtId="0" fontId="30" fillId="24" borderId="14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 vertical="center"/>
    </xf>
    <xf numFmtId="0" fontId="30" fillId="24" borderId="15" xfId="0" applyFont="1" applyFill="1" applyBorder="1" applyAlignment="1">
      <alignment horizontal="center" vertical="center"/>
    </xf>
    <xf numFmtId="0" fontId="0" fillId="18" borderId="0" xfId="0" applyFill="1"/>
    <xf numFmtId="0" fontId="10" fillId="26" borderId="24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/>
    </xf>
    <xf numFmtId="0" fontId="27" fillId="26" borderId="1" xfId="0" applyFont="1" applyFill="1" applyBorder="1" applyAlignment="1">
      <alignment horizontal="center" vertical="center"/>
    </xf>
    <xf numFmtId="0" fontId="10" fillId="26" borderId="1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25" borderId="13" xfId="0" applyFont="1" applyFill="1" applyBorder="1" applyAlignment="1">
      <alignment horizontal="center" vertical="center"/>
    </xf>
    <xf numFmtId="0" fontId="14" fillId="25" borderId="15" xfId="0" applyFont="1" applyFill="1" applyBorder="1" applyAlignment="1">
      <alignment horizontal="center" vertical="center"/>
    </xf>
    <xf numFmtId="0" fontId="10" fillId="23" borderId="18" xfId="0" applyFont="1" applyFill="1" applyBorder="1" applyAlignment="1">
      <alignment horizontal="center" vertical="center"/>
    </xf>
    <xf numFmtId="0" fontId="27" fillId="23" borderId="4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31" fillId="6" borderId="42" xfId="0" applyFont="1" applyFill="1" applyBorder="1" applyAlignment="1">
      <alignment horizontal="center" vertical="center"/>
    </xf>
    <xf numFmtId="0" fontId="31" fillId="6" borderId="43" xfId="0" applyFont="1" applyFill="1" applyBorder="1" applyAlignment="1">
      <alignment horizontal="center" vertical="center"/>
    </xf>
    <xf numFmtId="0" fontId="31" fillId="6" borderId="44" xfId="0" applyFont="1" applyFill="1" applyBorder="1" applyAlignment="1">
      <alignment horizontal="center" vertical="center"/>
    </xf>
    <xf numFmtId="0" fontId="27" fillId="23" borderId="27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23" borderId="0" xfId="0" applyFont="1" applyFill="1" applyAlignment="1">
      <alignment horizontal="center" vertical="center"/>
    </xf>
    <xf numFmtId="0" fontId="22" fillId="26" borderId="11" xfId="0" applyFont="1" applyFill="1" applyBorder="1" applyAlignment="1">
      <alignment horizontal="center" vertical="center"/>
    </xf>
    <xf numFmtId="0" fontId="22" fillId="26" borderId="12" xfId="0" applyFont="1" applyFill="1" applyBorder="1" applyAlignment="1">
      <alignment horizontal="center" vertical="center"/>
    </xf>
    <xf numFmtId="0" fontId="22" fillId="26" borderId="13" xfId="0" applyFont="1" applyFill="1" applyBorder="1" applyAlignment="1">
      <alignment horizontal="center" vertical="center"/>
    </xf>
    <xf numFmtId="0" fontId="22" fillId="26" borderId="14" xfId="0" applyFont="1" applyFill="1" applyBorder="1" applyAlignment="1">
      <alignment horizontal="center" vertical="center"/>
    </xf>
    <xf numFmtId="0" fontId="22" fillId="26" borderId="0" xfId="0" applyFont="1" applyFill="1" applyBorder="1" applyAlignment="1">
      <alignment horizontal="center" vertical="center"/>
    </xf>
    <xf numFmtId="0" fontId="22" fillId="26" borderId="15" xfId="0" applyFont="1" applyFill="1" applyBorder="1" applyAlignment="1">
      <alignment horizontal="center" vertical="center"/>
    </xf>
    <xf numFmtId="0" fontId="10" fillId="23" borderId="40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8" fillId="23" borderId="42" xfId="0" applyFont="1" applyFill="1" applyBorder="1" applyAlignment="1">
      <alignment horizontal="center" vertical="center"/>
    </xf>
    <xf numFmtId="0" fontId="18" fillId="23" borderId="43" xfId="0" applyFont="1" applyFill="1" applyBorder="1" applyAlignment="1">
      <alignment horizontal="center" vertical="center"/>
    </xf>
    <xf numFmtId="0" fontId="18" fillId="23" borderId="44" xfId="0" applyFont="1" applyFill="1" applyBorder="1" applyAlignment="1">
      <alignment horizontal="center" vertical="center"/>
    </xf>
    <xf numFmtId="0" fontId="0" fillId="27" borderId="31" xfId="0" applyFill="1" applyBorder="1" applyAlignment="1">
      <alignment horizontal="center" vertical="center" wrapText="1"/>
    </xf>
    <xf numFmtId="0" fontId="10" fillId="27" borderId="10" xfId="0" applyFont="1" applyFill="1" applyBorder="1" applyAlignment="1">
      <alignment horizontal="center" vertical="center"/>
    </xf>
    <xf numFmtId="0" fontId="27" fillId="27" borderId="10" xfId="0" applyFont="1" applyFill="1" applyBorder="1" applyAlignment="1">
      <alignment horizontal="center" vertical="center"/>
    </xf>
    <xf numFmtId="0" fontId="10" fillId="27" borderId="4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6" xfId="0" applyFont="1" applyBorder="1"/>
    <xf numFmtId="0" fontId="0" fillId="0" borderId="27" xfId="0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3" fillId="24" borderId="3" xfId="0" applyFont="1" applyFill="1" applyBorder="1" applyAlignment="1">
      <alignment horizontal="center" vertical="center"/>
    </xf>
    <xf numFmtId="0" fontId="13" fillId="24" borderId="4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6" xfId="0" applyBorder="1"/>
    <xf numFmtId="0" fontId="0" fillId="0" borderId="29" xfId="0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32" fillId="28" borderId="46" xfId="23" applyFont="1" applyFill="1" applyBorder="1" applyAlignment="1">
      <alignment horizontal="center" vertical="center"/>
    </xf>
    <xf numFmtId="0" fontId="32" fillId="28" borderId="47" xfId="23" applyFont="1" applyFill="1" applyBorder="1" applyAlignment="1">
      <alignment horizontal="center" vertical="center"/>
    </xf>
    <xf numFmtId="0" fontId="32" fillId="28" borderId="48" xfId="23" applyFont="1" applyFill="1" applyBorder="1" applyAlignment="1">
      <alignment horizontal="center" vertical="center"/>
    </xf>
    <xf numFmtId="0" fontId="32" fillId="28" borderId="24" xfId="23" applyFont="1" applyFill="1" applyBorder="1" applyAlignment="1">
      <alignment horizontal="center" vertical="center"/>
    </xf>
    <xf numFmtId="0" fontId="32" fillId="28" borderId="1" xfId="23" applyFont="1" applyFill="1" applyBorder="1" applyAlignment="1">
      <alignment horizontal="center" vertical="center"/>
    </xf>
    <xf numFmtId="0" fontId="32" fillId="28" borderId="18" xfId="23" applyFont="1" applyFill="1" applyBorder="1" applyAlignment="1">
      <alignment horizontal="center" vertical="center"/>
    </xf>
    <xf numFmtId="0" fontId="32" fillId="28" borderId="25" xfId="23" applyFont="1" applyFill="1" applyBorder="1" applyAlignment="1">
      <alignment horizontal="center" vertical="center"/>
    </xf>
    <xf numFmtId="0" fontId="32" fillId="28" borderId="26" xfId="23" applyFont="1" applyFill="1" applyBorder="1" applyAlignment="1">
      <alignment horizontal="center" vertical="center"/>
    </xf>
    <xf numFmtId="0" fontId="32" fillId="28" borderId="27" xfId="23" applyFont="1" applyFill="1" applyBorder="1" applyAlignment="1">
      <alignment horizontal="center" vertical="center"/>
    </xf>
    <xf numFmtId="0" fontId="33" fillId="29" borderId="49" xfId="23" applyFont="1" applyBorder="1" applyAlignment="1">
      <alignment vertical="center"/>
    </xf>
    <xf numFmtId="0" fontId="10" fillId="29" borderId="10" xfId="23" applyFont="1" applyBorder="1" applyAlignment="1">
      <alignment vertical="center" wrapText="1"/>
    </xf>
    <xf numFmtId="0" fontId="10" fillId="29" borderId="10" xfId="23" applyFont="1" applyBorder="1" applyAlignment="1">
      <alignment horizontal="center" vertical="center"/>
    </xf>
    <xf numFmtId="0" fontId="10" fillId="29" borderId="10" xfId="23" applyFont="1" applyBorder="1" applyAlignment="1">
      <alignment vertical="center"/>
    </xf>
    <xf numFmtId="0" fontId="10" fillId="29" borderId="10" xfId="23" applyFont="1" applyBorder="1" applyAlignment="1">
      <alignment horizontal="center" vertical="center" wrapText="1"/>
    </xf>
    <xf numFmtId="0" fontId="10" fillId="29" borderId="41" xfId="23" applyFont="1" applyBorder="1" applyAlignment="1">
      <alignment horizontal="center" vertical="center"/>
    </xf>
    <xf numFmtId="0" fontId="34" fillId="29" borderId="50" xfId="23" applyBorder="1"/>
    <xf numFmtId="0" fontId="34" fillId="29" borderId="1" xfId="23" applyBorder="1" applyAlignment="1">
      <alignment vertical="center"/>
    </xf>
    <xf numFmtId="0" fontId="35" fillId="29" borderId="1" xfId="23" applyFont="1" applyBorder="1" applyAlignment="1">
      <alignment horizontal="center" vertical="center"/>
    </xf>
    <xf numFmtId="0" fontId="34" fillId="29" borderId="1" xfId="23" applyBorder="1" applyAlignment="1">
      <alignment horizontal="center" vertical="center"/>
    </xf>
    <xf numFmtId="0" fontId="34" fillId="29" borderId="1" xfId="23" applyBorder="1"/>
    <xf numFmtId="0" fontId="36" fillId="23" borderId="18" xfId="23" applyFont="1" applyFill="1" applyBorder="1" applyAlignment="1">
      <alignment horizontal="center" vertical="center" wrapText="1"/>
    </xf>
    <xf numFmtId="0" fontId="24" fillId="29" borderId="1" xfId="23" applyFont="1" applyBorder="1" applyAlignment="1">
      <alignment horizontal="center" vertical="center"/>
    </xf>
    <xf numFmtId="0" fontId="34" fillId="29" borderId="1" xfId="23" applyBorder="1" applyAlignment="1">
      <alignment horizontal="right"/>
    </xf>
    <xf numFmtId="0" fontId="34" fillId="29" borderId="51" xfId="23" applyBorder="1"/>
    <xf numFmtId="0" fontId="34" fillId="29" borderId="26" xfId="23" applyBorder="1" applyAlignment="1">
      <alignment vertical="center"/>
    </xf>
    <xf numFmtId="0" fontId="24" fillId="29" borderId="26" xfId="23" applyFont="1" applyBorder="1" applyAlignment="1">
      <alignment horizontal="center" vertical="center"/>
    </xf>
    <xf numFmtId="0" fontId="34" fillId="29" borderId="26" xfId="23" applyBorder="1" applyAlignment="1">
      <alignment horizontal="center" vertical="center"/>
    </xf>
    <xf numFmtId="0" fontId="34" fillId="29" borderId="26" xfId="23" applyBorder="1"/>
    <xf numFmtId="0" fontId="36" fillId="23" borderId="27" xfId="23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3"/>
  <sheetViews>
    <sheetView zoomScale="120" zoomScaleNormal="120" workbookViewId="0">
      <selection activeCell="B20" sqref="B20"/>
    </sheetView>
  </sheetViews>
  <sheetFormatPr defaultColWidth="9" defaultRowHeight="15"/>
  <cols>
    <col min="1" max="1" width="1.28571428571429" customWidth="1"/>
    <col min="2" max="2" width="4" customWidth="1"/>
    <col min="3" max="3" width="36.5714285714286" style="146" customWidth="1"/>
    <col min="4" max="4" width="16.4285714285714" customWidth="1"/>
    <col min="5" max="5" width="14.2857142857143" customWidth="1"/>
    <col min="7" max="8" width="12.5714285714286" customWidth="1"/>
    <col min="9" max="9" width="10.8571428571429" customWidth="1"/>
    <col min="10" max="10" width="5.85714285714286" customWidth="1"/>
    <col min="11" max="11" width="33.7142857142857" customWidth="1"/>
    <col min="12" max="12" width="9.28571428571429" customWidth="1"/>
    <col min="13" max="13" width="12.4285714285714" customWidth="1"/>
    <col min="15" max="15" width="12.8571428571429" customWidth="1"/>
    <col min="17" max="17" width="4.28571428571429" customWidth="1"/>
    <col min="18" max="18" width="37.7142857142857" customWidth="1"/>
    <col min="19" max="19" width="13.8571428571429" customWidth="1"/>
    <col min="21" max="21" width="11.1428571428571" customWidth="1"/>
    <col min="22" max="22" width="17" customWidth="1"/>
  </cols>
  <sheetData>
    <row r="1" ht="15.75"/>
    <row r="2" customHeight="1" spans="2:22">
      <c r="B2" s="147" t="s">
        <v>0</v>
      </c>
      <c r="C2" s="148"/>
      <c r="D2" s="148"/>
      <c r="E2" s="148"/>
      <c r="F2" s="148"/>
      <c r="G2" s="149"/>
      <c r="J2" s="147" t="s">
        <v>1</v>
      </c>
      <c r="K2" s="148"/>
      <c r="L2" s="148"/>
      <c r="M2" s="148"/>
      <c r="N2" s="148"/>
      <c r="O2" s="149"/>
      <c r="Q2" s="147" t="s">
        <v>2</v>
      </c>
      <c r="R2" s="148"/>
      <c r="S2" s="148"/>
      <c r="T2" s="148"/>
      <c r="U2" s="148"/>
      <c r="V2" s="149"/>
    </row>
    <row r="3" customHeight="1" spans="2:22">
      <c r="B3" s="150"/>
      <c r="C3" s="151"/>
      <c r="D3" s="151"/>
      <c r="E3" s="151"/>
      <c r="F3" s="151"/>
      <c r="G3" s="152"/>
      <c r="J3" s="150"/>
      <c r="K3" s="151"/>
      <c r="L3" s="151"/>
      <c r="M3" s="151"/>
      <c r="N3" s="151"/>
      <c r="O3" s="152"/>
      <c r="Q3" s="150"/>
      <c r="R3" s="151"/>
      <c r="S3" s="151"/>
      <c r="T3" s="151"/>
      <c r="U3" s="151"/>
      <c r="V3" s="152"/>
    </row>
    <row r="4" customHeight="1" spans="2:22">
      <c r="B4" s="150"/>
      <c r="C4" s="151"/>
      <c r="D4" s="151"/>
      <c r="E4" s="151"/>
      <c r="F4" s="151"/>
      <c r="G4" s="152"/>
      <c r="J4" s="150"/>
      <c r="K4" s="151"/>
      <c r="L4" s="151"/>
      <c r="M4" s="151"/>
      <c r="N4" s="151"/>
      <c r="O4" s="152"/>
      <c r="Q4" s="150"/>
      <c r="R4" s="151"/>
      <c r="S4" s="151"/>
      <c r="T4" s="151"/>
      <c r="U4" s="151"/>
      <c r="V4" s="152"/>
    </row>
    <row r="5" customHeight="1" spans="2:22">
      <c r="B5" s="153"/>
      <c r="C5" s="154"/>
      <c r="D5" s="154"/>
      <c r="E5" s="154"/>
      <c r="F5" s="154"/>
      <c r="G5" s="155"/>
      <c r="J5" s="150"/>
      <c r="K5" s="151"/>
      <c r="L5" s="151"/>
      <c r="M5" s="151"/>
      <c r="N5" s="151"/>
      <c r="O5" s="152"/>
      <c r="Q5" s="150"/>
      <c r="R5" s="151"/>
      <c r="S5" s="151"/>
      <c r="T5" s="151"/>
      <c r="U5" s="151"/>
      <c r="V5" s="152"/>
    </row>
    <row r="6" ht="45.75" spans="2:22">
      <c r="B6" s="156" t="s">
        <v>3</v>
      </c>
      <c r="C6" s="157" t="s">
        <v>4</v>
      </c>
      <c r="D6" s="141" t="s">
        <v>5</v>
      </c>
      <c r="E6" s="141" t="s">
        <v>6</v>
      </c>
      <c r="F6" s="141" t="s">
        <v>7</v>
      </c>
      <c r="G6" s="158" t="s">
        <v>8</v>
      </c>
      <c r="J6" s="210" t="s">
        <v>3</v>
      </c>
      <c r="K6" s="211" t="s">
        <v>4</v>
      </c>
      <c r="L6" s="211" t="s">
        <v>5</v>
      </c>
      <c r="M6" s="211" t="s">
        <v>6</v>
      </c>
      <c r="N6" s="211" t="s">
        <v>7</v>
      </c>
      <c r="O6" s="212" t="s">
        <v>8</v>
      </c>
      <c r="Q6" s="210" t="s">
        <v>3</v>
      </c>
      <c r="R6" s="211" t="s">
        <v>4</v>
      </c>
      <c r="S6" s="211" t="s">
        <v>5</v>
      </c>
      <c r="T6" s="211" t="s">
        <v>6</v>
      </c>
      <c r="U6" s="211" t="s">
        <v>7</v>
      </c>
      <c r="V6" s="212" t="s">
        <v>8</v>
      </c>
    </row>
    <row r="7" ht="15.75" spans="2:22">
      <c r="B7" s="159">
        <v>1</v>
      </c>
      <c r="C7" s="160" t="s">
        <v>9</v>
      </c>
      <c r="D7" s="161" t="s">
        <v>10</v>
      </c>
      <c r="E7" s="17">
        <v>9</v>
      </c>
      <c r="F7" s="17">
        <v>0</v>
      </c>
      <c r="G7" s="162">
        <f>E7-F7</f>
        <v>9</v>
      </c>
      <c r="J7" s="213">
        <v>1</v>
      </c>
      <c r="K7" s="214" t="s">
        <v>11</v>
      </c>
      <c r="L7" s="214" t="s">
        <v>12</v>
      </c>
      <c r="M7" s="215">
        <v>1</v>
      </c>
      <c r="N7" s="215">
        <v>0</v>
      </c>
      <c r="O7" s="216">
        <f t="shared" ref="O7:O8" si="0">M7-N7</f>
        <v>1</v>
      </c>
      <c r="Q7" s="213">
        <v>1</v>
      </c>
      <c r="R7" s="214" t="s">
        <v>13</v>
      </c>
      <c r="S7" s="214" t="s">
        <v>14</v>
      </c>
      <c r="T7" s="215">
        <v>3</v>
      </c>
      <c r="U7" s="215">
        <v>0</v>
      </c>
      <c r="V7" s="235">
        <f t="shared" ref="V7:V19" si="1">T7-U7</f>
        <v>3</v>
      </c>
    </row>
    <row r="8" ht="15.75" spans="2:22">
      <c r="B8" s="159">
        <v>2</v>
      </c>
      <c r="C8" s="160" t="s">
        <v>15</v>
      </c>
      <c r="D8" s="161" t="s">
        <v>16</v>
      </c>
      <c r="E8" s="17">
        <v>6</v>
      </c>
      <c r="F8" s="17">
        <v>2</v>
      </c>
      <c r="G8" s="162">
        <f t="shared" ref="G8:G31" si="2">E8-F8</f>
        <v>4</v>
      </c>
      <c r="J8" s="159">
        <v>2</v>
      </c>
      <c r="K8" s="161" t="s">
        <v>17</v>
      </c>
      <c r="L8" s="161" t="s">
        <v>18</v>
      </c>
      <c r="M8" s="17">
        <v>1</v>
      </c>
      <c r="N8" s="17">
        <v>0</v>
      </c>
      <c r="O8" s="162">
        <f t="shared" si="0"/>
        <v>1</v>
      </c>
      <c r="Q8" s="159">
        <v>2</v>
      </c>
      <c r="R8" s="161" t="s">
        <v>19</v>
      </c>
      <c r="S8" s="161" t="s">
        <v>20</v>
      </c>
      <c r="T8" s="17">
        <v>3</v>
      </c>
      <c r="U8" s="17">
        <v>0</v>
      </c>
      <c r="V8" s="184">
        <f t="shared" si="1"/>
        <v>3</v>
      </c>
    </row>
    <row r="9" ht="15.75" spans="2:22">
      <c r="B9" s="159">
        <v>3</v>
      </c>
      <c r="C9" s="160" t="s">
        <v>15</v>
      </c>
      <c r="D9" s="161" t="s">
        <v>21</v>
      </c>
      <c r="E9" s="17">
        <v>9</v>
      </c>
      <c r="F9" s="17">
        <v>0</v>
      </c>
      <c r="G9" s="162">
        <f t="shared" si="2"/>
        <v>9</v>
      </c>
      <c r="J9" s="159">
        <v>3</v>
      </c>
      <c r="K9" s="217" t="s">
        <v>22</v>
      </c>
      <c r="L9" s="217" t="s">
        <v>23</v>
      </c>
      <c r="M9" s="218">
        <v>2</v>
      </c>
      <c r="N9" s="218">
        <v>0</v>
      </c>
      <c r="O9" s="162">
        <f t="shared" ref="O9:O18" si="3">M9-N9</f>
        <v>2</v>
      </c>
      <c r="Q9" s="159">
        <v>3</v>
      </c>
      <c r="R9" s="161" t="s">
        <v>24</v>
      </c>
      <c r="S9" s="161" t="s">
        <v>25</v>
      </c>
      <c r="T9" s="17">
        <v>1</v>
      </c>
      <c r="U9" s="17">
        <v>0</v>
      </c>
      <c r="V9" s="184">
        <f t="shared" si="1"/>
        <v>1</v>
      </c>
    </row>
    <row r="10" ht="15.75" spans="2:22">
      <c r="B10" s="159">
        <v>4</v>
      </c>
      <c r="C10" s="160" t="s">
        <v>15</v>
      </c>
      <c r="D10" s="161" t="s">
        <v>26</v>
      </c>
      <c r="E10" s="17">
        <v>10</v>
      </c>
      <c r="F10" s="17">
        <v>5</v>
      </c>
      <c r="G10" s="162">
        <f t="shared" si="2"/>
        <v>5</v>
      </c>
      <c r="J10" s="159">
        <v>4</v>
      </c>
      <c r="K10" s="217" t="s">
        <v>27</v>
      </c>
      <c r="L10" s="217" t="s">
        <v>28</v>
      </c>
      <c r="M10" s="218">
        <v>2</v>
      </c>
      <c r="N10" s="218">
        <v>0</v>
      </c>
      <c r="O10" s="162">
        <f t="shared" si="3"/>
        <v>2</v>
      </c>
      <c r="Q10" s="159">
        <v>4</v>
      </c>
      <c r="R10" s="161" t="s">
        <v>29</v>
      </c>
      <c r="S10" s="161" t="s">
        <v>30</v>
      </c>
      <c r="T10" s="17">
        <v>1</v>
      </c>
      <c r="U10" s="17">
        <v>0</v>
      </c>
      <c r="V10" s="184">
        <f t="shared" si="1"/>
        <v>1</v>
      </c>
    </row>
    <row r="11" ht="16" customHeight="1" spans="2:22">
      <c r="B11" s="159">
        <v>5</v>
      </c>
      <c r="C11" s="160" t="s">
        <v>31</v>
      </c>
      <c r="D11" s="161" t="s">
        <v>26</v>
      </c>
      <c r="E11" s="17">
        <v>9</v>
      </c>
      <c r="F11" s="17">
        <v>1</v>
      </c>
      <c r="G11" s="162">
        <f t="shared" si="2"/>
        <v>8</v>
      </c>
      <c r="J11" s="159">
        <v>5</v>
      </c>
      <c r="K11" s="161" t="s">
        <v>32</v>
      </c>
      <c r="L11" s="161" t="s">
        <v>33</v>
      </c>
      <c r="M11" s="17">
        <v>4</v>
      </c>
      <c r="N11" s="17">
        <v>0</v>
      </c>
      <c r="O11" s="162">
        <f t="shared" si="3"/>
        <v>4</v>
      </c>
      <c r="Q11" s="159">
        <v>5</v>
      </c>
      <c r="R11" s="161" t="s">
        <v>34</v>
      </c>
      <c r="S11" s="161" t="s">
        <v>35</v>
      </c>
      <c r="T11" s="17">
        <v>2</v>
      </c>
      <c r="U11" s="17">
        <v>0</v>
      </c>
      <c r="V11" s="184">
        <f t="shared" si="1"/>
        <v>2</v>
      </c>
    </row>
    <row r="12" ht="21" customHeight="1" spans="2:22">
      <c r="B12" s="159">
        <v>6</v>
      </c>
      <c r="C12" s="160" t="s">
        <v>31</v>
      </c>
      <c r="D12" s="161" t="s">
        <v>36</v>
      </c>
      <c r="E12" s="17">
        <v>12</v>
      </c>
      <c r="F12" s="17">
        <v>1</v>
      </c>
      <c r="G12" s="162">
        <f t="shared" si="2"/>
        <v>11</v>
      </c>
      <c r="J12" s="159">
        <v>6</v>
      </c>
      <c r="K12" s="161" t="s">
        <v>37</v>
      </c>
      <c r="L12" s="161" t="s">
        <v>38</v>
      </c>
      <c r="M12" s="17">
        <v>3</v>
      </c>
      <c r="N12" s="17">
        <v>0</v>
      </c>
      <c r="O12" s="162">
        <f t="shared" si="3"/>
        <v>3</v>
      </c>
      <c r="Q12" s="159">
        <v>6</v>
      </c>
      <c r="R12" s="236" t="s">
        <v>39</v>
      </c>
      <c r="S12" s="161" t="s">
        <v>40</v>
      </c>
      <c r="T12" s="17">
        <v>3</v>
      </c>
      <c r="U12" s="17">
        <v>0</v>
      </c>
      <c r="V12" s="184">
        <f t="shared" si="1"/>
        <v>3</v>
      </c>
    </row>
    <row r="13" ht="15.75" spans="2:22">
      <c r="B13" s="159">
        <v>7</v>
      </c>
      <c r="C13" s="160" t="s">
        <v>31</v>
      </c>
      <c r="D13" s="161" t="s">
        <v>40</v>
      </c>
      <c r="E13" s="17">
        <v>4</v>
      </c>
      <c r="F13" s="17">
        <v>1</v>
      </c>
      <c r="G13" s="162">
        <f t="shared" si="2"/>
        <v>3</v>
      </c>
      <c r="J13" s="159">
        <v>7</v>
      </c>
      <c r="K13" s="161" t="s">
        <v>41</v>
      </c>
      <c r="L13" s="161" t="s">
        <v>33</v>
      </c>
      <c r="M13" s="17">
        <v>1</v>
      </c>
      <c r="N13" s="17">
        <v>0</v>
      </c>
      <c r="O13" s="162">
        <f t="shared" si="3"/>
        <v>1</v>
      </c>
      <c r="Q13" s="159">
        <v>7</v>
      </c>
      <c r="R13" s="161" t="s">
        <v>42</v>
      </c>
      <c r="S13" s="161" t="s">
        <v>43</v>
      </c>
      <c r="T13" s="17">
        <v>1</v>
      </c>
      <c r="U13" s="17">
        <v>0</v>
      </c>
      <c r="V13" s="184">
        <f t="shared" si="1"/>
        <v>1</v>
      </c>
    </row>
    <row r="14" ht="16.5" spans="2:22">
      <c r="B14" s="159">
        <v>8</v>
      </c>
      <c r="C14" s="160" t="s">
        <v>31</v>
      </c>
      <c r="D14" s="161" t="s">
        <v>10</v>
      </c>
      <c r="E14" s="17">
        <v>3</v>
      </c>
      <c r="F14" s="17">
        <v>0</v>
      </c>
      <c r="G14" s="162">
        <f t="shared" si="2"/>
        <v>3</v>
      </c>
      <c r="J14" s="159">
        <v>8</v>
      </c>
      <c r="K14" s="161" t="s">
        <v>44</v>
      </c>
      <c r="L14" s="161" t="s">
        <v>45</v>
      </c>
      <c r="M14" s="17">
        <v>4</v>
      </c>
      <c r="N14" s="17">
        <v>2</v>
      </c>
      <c r="O14" s="162">
        <f t="shared" si="3"/>
        <v>2</v>
      </c>
      <c r="Q14" s="219">
        <v>8</v>
      </c>
      <c r="R14" s="187" t="s">
        <v>46</v>
      </c>
      <c r="S14" s="187" t="s">
        <v>47</v>
      </c>
      <c r="T14" s="200">
        <v>1</v>
      </c>
      <c r="U14" s="200">
        <v>0</v>
      </c>
      <c r="V14" s="190">
        <f t="shared" si="1"/>
        <v>1</v>
      </c>
    </row>
    <row r="15" ht="21.75" spans="2:22">
      <c r="B15" s="159">
        <v>9</v>
      </c>
      <c r="C15" s="160" t="s">
        <v>48</v>
      </c>
      <c r="D15" s="161" t="s">
        <v>49</v>
      </c>
      <c r="E15" s="17">
        <v>10</v>
      </c>
      <c r="F15" s="17">
        <v>0</v>
      </c>
      <c r="G15" s="162">
        <f t="shared" si="2"/>
        <v>10</v>
      </c>
      <c r="J15" s="159">
        <v>9</v>
      </c>
      <c r="K15" s="161" t="s">
        <v>50</v>
      </c>
      <c r="L15" s="161" t="s">
        <v>28</v>
      </c>
      <c r="M15" s="17">
        <v>3</v>
      </c>
      <c r="N15" s="17">
        <v>0</v>
      </c>
      <c r="O15" s="162">
        <f t="shared" si="3"/>
        <v>3</v>
      </c>
      <c r="Q15" s="237" t="s">
        <v>51</v>
      </c>
      <c r="R15" s="238"/>
      <c r="S15" s="238"/>
      <c r="T15" s="238"/>
      <c r="U15" s="238"/>
      <c r="V15" s="239"/>
    </row>
    <row r="16" ht="15.75" spans="2:22">
      <c r="B16" s="159">
        <v>10</v>
      </c>
      <c r="C16" s="160" t="s">
        <v>48</v>
      </c>
      <c r="D16" s="161" t="s">
        <v>40</v>
      </c>
      <c r="E16" s="17">
        <v>3</v>
      </c>
      <c r="F16" s="17">
        <v>1</v>
      </c>
      <c r="G16" s="162">
        <f t="shared" si="2"/>
        <v>2</v>
      </c>
      <c r="J16" s="159">
        <v>10</v>
      </c>
      <c r="K16" s="161" t="s">
        <v>52</v>
      </c>
      <c r="L16" s="161" t="s">
        <v>18</v>
      </c>
      <c r="M16" s="17">
        <v>3</v>
      </c>
      <c r="N16" s="17">
        <v>1</v>
      </c>
      <c r="O16" s="162">
        <f t="shared" si="3"/>
        <v>2</v>
      </c>
      <c r="Q16" s="213">
        <v>1</v>
      </c>
      <c r="R16" s="214" t="s">
        <v>53</v>
      </c>
      <c r="S16" s="214" t="s">
        <v>47</v>
      </c>
      <c r="T16" s="215">
        <v>5</v>
      </c>
      <c r="U16" s="215">
        <v>4</v>
      </c>
      <c r="V16" s="235">
        <f t="shared" si="1"/>
        <v>1</v>
      </c>
    </row>
    <row r="17" ht="15.75" spans="2:22">
      <c r="B17" s="159">
        <v>11</v>
      </c>
      <c r="C17" s="160" t="s">
        <v>48</v>
      </c>
      <c r="D17" s="161" t="s">
        <v>54</v>
      </c>
      <c r="E17" s="17">
        <v>2</v>
      </c>
      <c r="F17" s="17">
        <v>1</v>
      </c>
      <c r="G17" s="162">
        <f t="shared" si="2"/>
        <v>1</v>
      </c>
      <c r="J17" s="159">
        <v>11</v>
      </c>
      <c r="K17" s="161" t="s">
        <v>55</v>
      </c>
      <c r="L17" s="161" t="s">
        <v>56</v>
      </c>
      <c r="M17" s="17">
        <v>2</v>
      </c>
      <c r="N17" s="17">
        <v>1</v>
      </c>
      <c r="O17" s="162">
        <f t="shared" si="3"/>
        <v>1</v>
      </c>
      <c r="Q17" s="159">
        <v>2</v>
      </c>
      <c r="R17" s="161" t="s">
        <v>57</v>
      </c>
      <c r="S17" s="161" t="s">
        <v>47</v>
      </c>
      <c r="T17" s="17">
        <v>1</v>
      </c>
      <c r="U17" s="17">
        <v>0</v>
      </c>
      <c r="V17" s="184">
        <f t="shared" si="1"/>
        <v>1</v>
      </c>
    </row>
    <row r="18" ht="15.75" spans="2:22">
      <c r="B18" s="159">
        <v>12</v>
      </c>
      <c r="C18" s="160" t="s">
        <v>48</v>
      </c>
      <c r="D18" s="161" t="s">
        <v>10</v>
      </c>
      <c r="E18" s="17">
        <v>4</v>
      </c>
      <c r="F18" s="17">
        <v>3</v>
      </c>
      <c r="G18" s="162">
        <f t="shared" si="2"/>
        <v>1</v>
      </c>
      <c r="J18" s="219">
        <v>12</v>
      </c>
      <c r="K18" s="187" t="s">
        <v>58</v>
      </c>
      <c r="L18" s="187" t="s">
        <v>18</v>
      </c>
      <c r="M18" s="200">
        <v>1</v>
      </c>
      <c r="N18" s="200">
        <v>0</v>
      </c>
      <c r="O18" s="132">
        <v>1</v>
      </c>
      <c r="Q18" s="159">
        <v>3</v>
      </c>
      <c r="R18" s="161" t="s">
        <v>59</v>
      </c>
      <c r="S18" s="161" t="s">
        <v>47</v>
      </c>
      <c r="T18" s="17">
        <v>1</v>
      </c>
      <c r="U18" s="17">
        <v>0</v>
      </c>
      <c r="V18" s="184">
        <f t="shared" si="1"/>
        <v>1</v>
      </c>
    </row>
    <row r="19" ht="16.5" spans="2:22">
      <c r="B19" s="159">
        <v>13</v>
      </c>
      <c r="C19" s="160" t="s">
        <v>48</v>
      </c>
      <c r="D19" s="161" t="s">
        <v>21</v>
      </c>
      <c r="E19" s="17">
        <v>7</v>
      </c>
      <c r="F19" s="17">
        <v>6</v>
      </c>
      <c r="G19" s="162">
        <f t="shared" si="2"/>
        <v>1</v>
      </c>
      <c r="J19" s="11">
        <v>13</v>
      </c>
      <c r="K19" s="55" t="s">
        <v>60</v>
      </c>
      <c r="L19" s="55" t="s">
        <v>61</v>
      </c>
      <c r="M19" s="55">
        <v>1</v>
      </c>
      <c r="N19" s="55">
        <v>0</v>
      </c>
      <c r="O19" s="220">
        <f>M18-N18</f>
        <v>1</v>
      </c>
      <c r="Q19" s="163">
        <v>4</v>
      </c>
      <c r="R19" s="165" t="s">
        <v>62</v>
      </c>
      <c r="S19" s="165" t="s">
        <v>47</v>
      </c>
      <c r="T19" s="166">
        <v>1</v>
      </c>
      <c r="U19" s="166">
        <v>0</v>
      </c>
      <c r="V19" s="240">
        <f t="shared" si="1"/>
        <v>1</v>
      </c>
    </row>
    <row r="20" ht="15.75" spans="2:22">
      <c r="B20" s="159"/>
      <c r="C20" s="160"/>
      <c r="D20" s="161"/>
      <c r="E20" s="17"/>
      <c r="F20" s="17"/>
      <c r="G20" s="162"/>
      <c r="J20" s="11">
        <v>14</v>
      </c>
      <c r="K20" s="55" t="s">
        <v>63</v>
      </c>
      <c r="L20" s="55" t="s">
        <v>64</v>
      </c>
      <c r="M20" s="55">
        <v>2</v>
      </c>
      <c r="N20" s="55">
        <v>0</v>
      </c>
      <c r="O20" s="220">
        <v>2</v>
      </c>
      <c r="R20" s="241"/>
      <c r="S20" s="241"/>
      <c r="T20" s="242"/>
      <c r="U20" s="242"/>
      <c r="V20" s="243"/>
    </row>
    <row r="21" ht="16.5" spans="2:15">
      <c r="B21" s="159">
        <v>14</v>
      </c>
      <c r="C21" s="160" t="s">
        <v>48</v>
      </c>
      <c r="D21" s="161" t="s">
        <v>16</v>
      </c>
      <c r="E21" s="17">
        <v>2</v>
      </c>
      <c r="F21" s="17">
        <v>1</v>
      </c>
      <c r="G21" s="162">
        <f t="shared" ref="G21:G32" si="4">E21-F21</f>
        <v>1</v>
      </c>
      <c r="J21" s="11">
        <v>15</v>
      </c>
      <c r="K21" s="17" t="s">
        <v>65</v>
      </c>
      <c r="L21" s="17" t="s">
        <v>23</v>
      </c>
      <c r="M21" s="17">
        <v>2</v>
      </c>
      <c r="N21" s="17"/>
      <c r="O21" s="220">
        <f>M21-N21</f>
        <v>2</v>
      </c>
    </row>
    <row r="22" ht="15.75" customHeight="1" spans="2:22">
      <c r="B22" s="159">
        <v>15</v>
      </c>
      <c r="C22" s="160" t="s">
        <v>66</v>
      </c>
      <c r="D22" s="161" t="s">
        <v>40</v>
      </c>
      <c r="E22" s="17">
        <v>2</v>
      </c>
      <c r="F22" s="17">
        <v>0</v>
      </c>
      <c r="G22" s="162">
        <f t="shared" si="4"/>
        <v>2</v>
      </c>
      <c r="J22" s="221" t="s">
        <v>67</v>
      </c>
      <c r="K22" s="222"/>
      <c r="L22" s="222"/>
      <c r="M22" s="222"/>
      <c r="N22" s="222"/>
      <c r="O22" s="223"/>
      <c r="P22" s="224"/>
      <c r="Q22" s="244" t="s">
        <v>68</v>
      </c>
      <c r="R22" s="245"/>
      <c r="S22" s="245"/>
      <c r="T22" s="245"/>
      <c r="U22" s="245"/>
      <c r="V22" s="246"/>
    </row>
    <row r="23" ht="15.75" customHeight="1" spans="2:22">
      <c r="B23" s="159">
        <v>16</v>
      </c>
      <c r="C23" s="160" t="s">
        <v>69</v>
      </c>
      <c r="D23" s="161" t="s">
        <v>26</v>
      </c>
      <c r="E23" s="17">
        <v>1</v>
      </c>
      <c r="F23" s="17">
        <v>0</v>
      </c>
      <c r="G23" s="162">
        <f t="shared" si="4"/>
        <v>1</v>
      </c>
      <c r="J23" s="221"/>
      <c r="K23" s="222"/>
      <c r="L23" s="222"/>
      <c r="M23" s="222"/>
      <c r="N23" s="222"/>
      <c r="O23" s="223"/>
      <c r="Q23" s="247"/>
      <c r="R23" s="248"/>
      <c r="S23" s="248"/>
      <c r="T23" s="248"/>
      <c r="U23" s="248"/>
      <c r="V23" s="249"/>
    </row>
    <row r="24" ht="15.75" customHeight="1" spans="2:22">
      <c r="B24" s="159">
        <v>17</v>
      </c>
      <c r="C24" s="160" t="s">
        <v>69</v>
      </c>
      <c r="D24" s="161" t="s">
        <v>10</v>
      </c>
      <c r="E24" s="17">
        <v>1</v>
      </c>
      <c r="F24" s="17">
        <v>0</v>
      </c>
      <c r="G24" s="162">
        <f t="shared" si="4"/>
        <v>1</v>
      </c>
      <c r="J24" s="221"/>
      <c r="K24" s="222"/>
      <c r="L24" s="222"/>
      <c r="M24" s="222"/>
      <c r="N24" s="222"/>
      <c r="O24" s="223"/>
      <c r="Q24" s="247"/>
      <c r="R24" s="248"/>
      <c r="S24" s="248"/>
      <c r="T24" s="248"/>
      <c r="U24" s="248"/>
      <c r="V24" s="249"/>
    </row>
    <row r="25" ht="30.75" spans="2:22">
      <c r="B25" s="159">
        <v>18</v>
      </c>
      <c r="C25" s="160" t="s">
        <v>69</v>
      </c>
      <c r="D25" s="161" t="s">
        <v>40</v>
      </c>
      <c r="E25" s="17">
        <v>1</v>
      </c>
      <c r="F25" s="17">
        <v>0</v>
      </c>
      <c r="G25" s="162">
        <f t="shared" si="4"/>
        <v>1</v>
      </c>
      <c r="J25" s="225" t="s">
        <v>70</v>
      </c>
      <c r="K25" s="226" t="s">
        <v>71</v>
      </c>
      <c r="L25" s="227" t="s">
        <v>72</v>
      </c>
      <c r="M25" s="227" t="s">
        <v>73</v>
      </c>
      <c r="N25" s="226" t="s">
        <v>74</v>
      </c>
      <c r="O25" s="228" t="s">
        <v>75</v>
      </c>
      <c r="Q25" s="210" t="s">
        <v>3</v>
      </c>
      <c r="R25" s="211" t="s">
        <v>76</v>
      </c>
      <c r="S25" s="211" t="s">
        <v>77</v>
      </c>
      <c r="T25" s="211" t="s">
        <v>6</v>
      </c>
      <c r="U25" s="211" t="s">
        <v>7</v>
      </c>
      <c r="V25" s="250" t="s">
        <v>75</v>
      </c>
    </row>
    <row r="26" ht="15.75" spans="2:22">
      <c r="B26" s="159">
        <v>19</v>
      </c>
      <c r="C26" s="160" t="s">
        <v>78</v>
      </c>
      <c r="D26" s="161" t="s">
        <v>61</v>
      </c>
      <c r="E26" s="17">
        <v>3</v>
      </c>
      <c r="F26" s="17">
        <v>0</v>
      </c>
      <c r="G26" s="162">
        <f t="shared" si="4"/>
        <v>3</v>
      </c>
      <c r="J26" s="159">
        <v>1</v>
      </c>
      <c r="K26" s="17" t="s">
        <v>79</v>
      </c>
      <c r="L26" s="160" t="s">
        <v>80</v>
      </c>
      <c r="M26" s="161">
        <v>6</v>
      </c>
      <c r="N26" s="17">
        <v>0</v>
      </c>
      <c r="O26" s="162">
        <f>M26-N26</f>
        <v>6</v>
      </c>
      <c r="Q26" s="251">
        <v>1</v>
      </c>
      <c r="R26" s="215" t="s">
        <v>81</v>
      </c>
      <c r="S26" s="252" t="s">
        <v>82</v>
      </c>
      <c r="T26" s="214">
        <v>8</v>
      </c>
      <c r="U26" s="215">
        <v>1</v>
      </c>
      <c r="V26" s="216">
        <f>T26-U26</f>
        <v>7</v>
      </c>
    </row>
    <row r="27" ht="15.75" spans="2:22">
      <c r="B27" s="159">
        <v>20</v>
      </c>
      <c r="C27" s="160" t="s">
        <v>83</v>
      </c>
      <c r="D27" s="161" t="s">
        <v>28</v>
      </c>
      <c r="E27" s="17">
        <v>4</v>
      </c>
      <c r="F27" s="17">
        <v>0</v>
      </c>
      <c r="G27" s="162">
        <f t="shared" si="4"/>
        <v>4</v>
      </c>
      <c r="J27" s="159">
        <v>2</v>
      </c>
      <c r="K27" s="17" t="s">
        <v>84</v>
      </c>
      <c r="L27" s="160" t="s">
        <v>85</v>
      </c>
      <c r="M27" s="161">
        <v>2</v>
      </c>
      <c r="N27" s="17">
        <v>0</v>
      </c>
      <c r="O27" s="162">
        <f t="shared" ref="O27:O45" si="5">M27-N27</f>
        <v>2</v>
      </c>
      <c r="Q27" s="253">
        <v>2</v>
      </c>
      <c r="R27" s="17" t="s">
        <v>86</v>
      </c>
      <c r="S27" s="160" t="s">
        <v>82</v>
      </c>
      <c r="T27" s="161">
        <v>6</v>
      </c>
      <c r="U27" s="17">
        <v>0</v>
      </c>
      <c r="V27" s="162">
        <f t="shared" ref="V27:V47" si="6">T27-U27</f>
        <v>6</v>
      </c>
    </row>
    <row r="28" ht="15.75" spans="2:22">
      <c r="B28" s="159">
        <v>21</v>
      </c>
      <c r="C28" s="160" t="s">
        <v>87</v>
      </c>
      <c r="D28" s="161" t="s">
        <v>40</v>
      </c>
      <c r="E28" s="17">
        <v>1</v>
      </c>
      <c r="F28" s="17">
        <v>0</v>
      </c>
      <c r="G28" s="162">
        <f t="shared" si="4"/>
        <v>1</v>
      </c>
      <c r="J28" s="159">
        <v>3</v>
      </c>
      <c r="K28" s="17" t="s">
        <v>88</v>
      </c>
      <c r="L28" s="160" t="s">
        <v>85</v>
      </c>
      <c r="M28" s="161">
        <v>3</v>
      </c>
      <c r="N28" s="17">
        <v>0</v>
      </c>
      <c r="O28" s="162">
        <f t="shared" si="5"/>
        <v>3</v>
      </c>
      <c r="Q28" s="253">
        <v>3</v>
      </c>
      <c r="R28" s="17" t="s">
        <v>89</v>
      </c>
      <c r="S28" s="160" t="s">
        <v>47</v>
      </c>
      <c r="T28" s="161">
        <v>5</v>
      </c>
      <c r="U28" s="17">
        <v>1</v>
      </c>
      <c r="V28" s="162">
        <f t="shared" si="6"/>
        <v>4</v>
      </c>
    </row>
    <row r="29" ht="15.75" customHeight="1" spans="2:22">
      <c r="B29" s="159">
        <v>22</v>
      </c>
      <c r="C29" s="160" t="s">
        <v>90</v>
      </c>
      <c r="D29" s="161" t="s">
        <v>91</v>
      </c>
      <c r="E29" s="17">
        <v>1</v>
      </c>
      <c r="F29" s="17">
        <v>0</v>
      </c>
      <c r="G29" s="162">
        <f t="shared" si="4"/>
        <v>1</v>
      </c>
      <c r="J29" s="159">
        <v>4</v>
      </c>
      <c r="K29" s="17" t="s">
        <v>92</v>
      </c>
      <c r="L29" s="160" t="s">
        <v>93</v>
      </c>
      <c r="M29" s="161">
        <v>1</v>
      </c>
      <c r="N29" s="17">
        <v>0</v>
      </c>
      <c r="O29" s="162">
        <f t="shared" si="5"/>
        <v>1</v>
      </c>
      <c r="Q29" s="253">
        <v>4</v>
      </c>
      <c r="R29" s="17" t="s">
        <v>81</v>
      </c>
      <c r="S29" s="160" t="s">
        <v>94</v>
      </c>
      <c r="T29" s="161">
        <v>5</v>
      </c>
      <c r="U29" s="17">
        <v>0</v>
      </c>
      <c r="V29" s="162">
        <f t="shared" si="6"/>
        <v>5</v>
      </c>
    </row>
    <row r="30" ht="15.75" spans="2:22">
      <c r="B30" s="159">
        <v>23</v>
      </c>
      <c r="C30" s="160" t="s">
        <v>90</v>
      </c>
      <c r="D30" s="161" t="s">
        <v>95</v>
      </c>
      <c r="E30" s="17">
        <v>1</v>
      </c>
      <c r="F30" s="17">
        <v>0</v>
      </c>
      <c r="G30" s="162">
        <f t="shared" si="4"/>
        <v>1</v>
      </c>
      <c r="J30" s="159">
        <v>5</v>
      </c>
      <c r="K30" s="17" t="s">
        <v>96</v>
      </c>
      <c r="L30" s="160" t="s">
        <v>93</v>
      </c>
      <c r="M30" s="161">
        <v>6</v>
      </c>
      <c r="N30" s="17">
        <v>0</v>
      </c>
      <c r="O30" s="162">
        <f t="shared" si="5"/>
        <v>6</v>
      </c>
      <c r="Q30" s="253">
        <v>5</v>
      </c>
      <c r="R30" s="17" t="s">
        <v>86</v>
      </c>
      <c r="S30" s="160" t="s">
        <v>97</v>
      </c>
      <c r="T30" s="161">
        <v>3</v>
      </c>
      <c r="U30" s="17">
        <v>0</v>
      </c>
      <c r="V30" s="162">
        <f t="shared" si="6"/>
        <v>3</v>
      </c>
    </row>
    <row r="31" ht="15.75" spans="2:22">
      <c r="B31" s="159">
        <v>24</v>
      </c>
      <c r="C31" s="160" t="s">
        <v>90</v>
      </c>
      <c r="D31" s="161" t="s">
        <v>56</v>
      </c>
      <c r="E31" s="17">
        <v>1</v>
      </c>
      <c r="F31" s="17">
        <v>0</v>
      </c>
      <c r="G31" s="162">
        <f t="shared" si="4"/>
        <v>1</v>
      </c>
      <c r="J31" s="159">
        <v>6</v>
      </c>
      <c r="K31" s="17" t="s">
        <v>96</v>
      </c>
      <c r="L31" s="160" t="s">
        <v>98</v>
      </c>
      <c r="M31" s="161">
        <v>16</v>
      </c>
      <c r="N31" s="17">
        <v>0</v>
      </c>
      <c r="O31" s="162">
        <f t="shared" si="5"/>
        <v>16</v>
      </c>
      <c r="Q31" s="253">
        <v>6</v>
      </c>
      <c r="R31" s="17" t="s">
        <v>99</v>
      </c>
      <c r="S31" s="160" t="s">
        <v>82</v>
      </c>
      <c r="T31" s="161">
        <v>4</v>
      </c>
      <c r="U31" s="17">
        <v>0</v>
      </c>
      <c r="V31" s="162">
        <f t="shared" si="6"/>
        <v>4</v>
      </c>
    </row>
    <row r="32" ht="16.5" spans="2:22">
      <c r="B32" s="163">
        <v>25</v>
      </c>
      <c r="C32" s="164" t="s">
        <v>90</v>
      </c>
      <c r="D32" s="165" t="s">
        <v>64</v>
      </c>
      <c r="E32" s="166">
        <v>1</v>
      </c>
      <c r="F32" s="166">
        <v>0</v>
      </c>
      <c r="G32" s="167">
        <f t="shared" si="4"/>
        <v>1</v>
      </c>
      <c r="J32" s="159">
        <v>7</v>
      </c>
      <c r="K32" s="17" t="s">
        <v>100</v>
      </c>
      <c r="L32" s="160" t="s">
        <v>101</v>
      </c>
      <c r="M32" s="161">
        <v>3</v>
      </c>
      <c r="N32" s="17">
        <v>0</v>
      </c>
      <c r="O32" s="162">
        <f t="shared" si="5"/>
        <v>3</v>
      </c>
      <c r="Q32" s="253">
        <v>7</v>
      </c>
      <c r="R32" s="17" t="s">
        <v>102</v>
      </c>
      <c r="S32" s="160" t="s">
        <v>47</v>
      </c>
      <c r="T32" s="161">
        <v>4</v>
      </c>
      <c r="U32" s="17">
        <v>0</v>
      </c>
      <c r="V32" s="162">
        <f t="shared" si="6"/>
        <v>4</v>
      </c>
    </row>
    <row r="33" ht="15.75" spans="10:22">
      <c r="J33" s="159">
        <v>8</v>
      </c>
      <c r="K33" s="17" t="s">
        <v>103</v>
      </c>
      <c r="L33" s="160" t="s">
        <v>101</v>
      </c>
      <c r="M33" s="161">
        <v>4</v>
      </c>
      <c r="N33" s="17">
        <v>0</v>
      </c>
      <c r="O33" s="162">
        <f t="shared" si="5"/>
        <v>4</v>
      </c>
      <c r="Q33" s="253">
        <v>8</v>
      </c>
      <c r="R33" s="17" t="s">
        <v>104</v>
      </c>
      <c r="S33" s="160" t="s">
        <v>47</v>
      </c>
      <c r="T33" s="161">
        <v>4</v>
      </c>
      <c r="U33" s="17">
        <v>0</v>
      </c>
      <c r="V33" s="162">
        <f t="shared" si="6"/>
        <v>4</v>
      </c>
    </row>
    <row r="34" ht="16.5" spans="10:22">
      <c r="J34" s="159">
        <v>9</v>
      </c>
      <c r="K34" s="17" t="s">
        <v>105</v>
      </c>
      <c r="L34" s="160" t="s">
        <v>101</v>
      </c>
      <c r="M34" s="161">
        <v>6</v>
      </c>
      <c r="N34" s="17">
        <v>0</v>
      </c>
      <c r="O34" s="162">
        <f t="shared" si="5"/>
        <v>6</v>
      </c>
      <c r="Q34" s="254">
        <v>9</v>
      </c>
      <c r="R34" s="200"/>
      <c r="S34" s="186"/>
      <c r="T34" s="187"/>
      <c r="U34" s="200"/>
      <c r="V34" s="220">
        <f t="shared" si="6"/>
        <v>0</v>
      </c>
    </row>
    <row r="35" ht="28.5" customHeight="1" spans="2:22">
      <c r="B35" s="168" t="s">
        <v>106</v>
      </c>
      <c r="C35" s="169"/>
      <c r="D35" s="169"/>
      <c r="E35" s="169"/>
      <c r="F35" s="169"/>
      <c r="G35" s="169"/>
      <c r="H35" s="170"/>
      <c r="J35" s="159">
        <v>10</v>
      </c>
      <c r="K35" s="17" t="s">
        <v>107</v>
      </c>
      <c r="L35" s="160" t="s">
        <v>101</v>
      </c>
      <c r="M35" s="161">
        <v>6</v>
      </c>
      <c r="N35" s="17">
        <v>0</v>
      </c>
      <c r="O35" s="162">
        <f t="shared" si="5"/>
        <v>6</v>
      </c>
      <c r="Q35" s="255" t="s">
        <v>108</v>
      </c>
      <c r="R35" s="256"/>
      <c r="S35" s="256"/>
      <c r="T35" s="256"/>
      <c r="U35" s="256"/>
      <c r="V35" s="257"/>
    </row>
    <row r="36" ht="28.5" customHeight="1" spans="2:22">
      <c r="B36" s="171"/>
      <c r="C36" s="172"/>
      <c r="D36" s="172"/>
      <c r="E36" s="172"/>
      <c r="F36" s="172"/>
      <c r="G36" s="172"/>
      <c r="H36" s="173"/>
      <c r="J36" s="159">
        <v>11</v>
      </c>
      <c r="K36" s="17" t="s">
        <v>109</v>
      </c>
      <c r="L36" s="160" t="s">
        <v>101</v>
      </c>
      <c r="M36" s="161">
        <v>5</v>
      </c>
      <c r="N36" s="17">
        <v>0</v>
      </c>
      <c r="O36" s="162">
        <f t="shared" si="5"/>
        <v>5</v>
      </c>
      <c r="Q36" s="258" t="s">
        <v>3</v>
      </c>
      <c r="R36" s="259" t="s">
        <v>110</v>
      </c>
      <c r="S36" s="259" t="s">
        <v>111</v>
      </c>
      <c r="T36" s="260" t="s">
        <v>73</v>
      </c>
      <c r="U36" s="260" t="s">
        <v>7</v>
      </c>
      <c r="V36" s="261" t="s">
        <v>75</v>
      </c>
    </row>
    <row r="37" customHeight="1" spans="2:22">
      <c r="B37" s="174"/>
      <c r="C37" s="175"/>
      <c r="D37" s="175"/>
      <c r="E37" s="175"/>
      <c r="F37" s="175"/>
      <c r="G37" s="175"/>
      <c r="H37" s="176"/>
      <c r="J37" s="159">
        <v>12</v>
      </c>
      <c r="K37" s="17" t="s">
        <v>100</v>
      </c>
      <c r="L37" s="160" t="s">
        <v>101</v>
      </c>
      <c r="M37" s="161">
        <v>6</v>
      </c>
      <c r="N37" s="17">
        <v>6</v>
      </c>
      <c r="O37" s="162">
        <f t="shared" si="5"/>
        <v>0</v>
      </c>
      <c r="Q37" s="253">
        <v>1</v>
      </c>
      <c r="R37" s="17" t="s">
        <v>112</v>
      </c>
      <c r="S37" s="262" t="s">
        <v>113</v>
      </c>
      <c r="T37" s="161">
        <v>31</v>
      </c>
      <c r="U37" s="161">
        <v>3</v>
      </c>
      <c r="V37" s="162">
        <f t="shared" si="6"/>
        <v>28</v>
      </c>
    </row>
    <row r="38" customHeight="1" spans="2:22">
      <c r="B38" s="177" t="s">
        <v>70</v>
      </c>
      <c r="C38" s="178" t="s">
        <v>114</v>
      </c>
      <c r="D38" s="178" t="s">
        <v>115</v>
      </c>
      <c r="E38" s="179" t="s">
        <v>111</v>
      </c>
      <c r="F38" s="179" t="s">
        <v>6</v>
      </c>
      <c r="G38" s="178" t="s">
        <v>7</v>
      </c>
      <c r="H38" s="180" t="s">
        <v>116</v>
      </c>
      <c r="J38" s="163">
        <v>13</v>
      </c>
      <c r="K38" s="166"/>
      <c r="L38" s="164"/>
      <c r="M38" s="165"/>
      <c r="N38" s="166"/>
      <c r="O38" s="167">
        <f t="shared" si="5"/>
        <v>0</v>
      </c>
      <c r="Q38" s="253">
        <v>2</v>
      </c>
      <c r="R38" s="17" t="s">
        <v>112</v>
      </c>
      <c r="S38" s="262" t="s">
        <v>117</v>
      </c>
      <c r="T38" s="161">
        <v>4</v>
      </c>
      <c r="U38" s="161">
        <v>0</v>
      </c>
      <c r="V38" s="162">
        <f t="shared" si="6"/>
        <v>4</v>
      </c>
    </row>
    <row r="39" customHeight="1" spans="2:22">
      <c r="B39" s="181">
        <v>1</v>
      </c>
      <c r="C39" s="160">
        <v>220</v>
      </c>
      <c r="D39" s="161" t="s">
        <v>118</v>
      </c>
      <c r="E39" s="182" t="s">
        <v>119</v>
      </c>
      <c r="F39" s="182">
        <v>3</v>
      </c>
      <c r="G39" s="183">
        <v>3</v>
      </c>
      <c r="H39" s="184">
        <f>F39-G39</f>
        <v>0</v>
      </c>
      <c r="Q39" s="253">
        <v>3</v>
      </c>
      <c r="R39" s="17" t="s">
        <v>112</v>
      </c>
      <c r="S39" s="262" t="s">
        <v>120</v>
      </c>
      <c r="T39" s="161">
        <v>7</v>
      </c>
      <c r="U39" s="161">
        <v>0</v>
      </c>
      <c r="V39" s="162">
        <f t="shared" si="6"/>
        <v>7</v>
      </c>
    </row>
    <row r="40" ht="15.75" spans="1:22">
      <c r="A40" t="s">
        <v>121</v>
      </c>
      <c r="B40" s="181">
        <v>2</v>
      </c>
      <c r="C40" s="160">
        <v>220</v>
      </c>
      <c r="D40" s="161" t="s">
        <v>122</v>
      </c>
      <c r="E40" s="182" t="s">
        <v>123</v>
      </c>
      <c r="F40" s="182">
        <v>10</v>
      </c>
      <c r="G40" s="183">
        <v>4</v>
      </c>
      <c r="H40" s="184">
        <f>F40-G40</f>
        <v>6</v>
      </c>
      <c r="J40" s="229" t="s">
        <v>124</v>
      </c>
      <c r="K40" s="229"/>
      <c r="L40" s="229"/>
      <c r="M40" s="229"/>
      <c r="N40" s="229"/>
      <c r="O40" s="229"/>
      <c r="Q40" s="253">
        <v>4</v>
      </c>
      <c r="R40" s="17" t="s">
        <v>112</v>
      </c>
      <c r="S40" s="262" t="s">
        <v>125</v>
      </c>
      <c r="T40" s="161">
        <v>15</v>
      </c>
      <c r="U40" s="161">
        <v>0</v>
      </c>
      <c r="V40" s="162">
        <f t="shared" si="6"/>
        <v>15</v>
      </c>
    </row>
    <row r="41" ht="16.5" spans="2:22">
      <c r="B41" s="185">
        <v>3</v>
      </c>
      <c r="C41" s="186">
        <v>220</v>
      </c>
      <c r="D41" s="187" t="s">
        <v>126</v>
      </c>
      <c r="E41" s="188" t="s">
        <v>127</v>
      </c>
      <c r="F41" s="188">
        <v>1</v>
      </c>
      <c r="G41" s="189">
        <v>1</v>
      </c>
      <c r="H41" s="190">
        <f>F41-G41</f>
        <v>0</v>
      </c>
      <c r="J41" s="229"/>
      <c r="K41" s="229"/>
      <c r="L41" s="229"/>
      <c r="M41" s="229"/>
      <c r="N41" s="229"/>
      <c r="O41" s="229"/>
      <c r="Q41" s="253">
        <v>5</v>
      </c>
      <c r="R41" s="17" t="s">
        <v>112</v>
      </c>
      <c r="S41" s="262" t="s">
        <v>128</v>
      </c>
      <c r="T41" s="161">
        <v>7</v>
      </c>
      <c r="U41" s="161">
        <v>0</v>
      </c>
      <c r="V41" s="162">
        <f t="shared" si="6"/>
        <v>7</v>
      </c>
    </row>
    <row r="42" ht="28.5" spans="2:22">
      <c r="B42" s="191" t="s">
        <v>129</v>
      </c>
      <c r="C42" s="192"/>
      <c r="D42" s="192"/>
      <c r="E42" s="192"/>
      <c r="F42" s="192"/>
      <c r="G42" s="192"/>
      <c r="H42" s="193"/>
      <c r="J42" s="229"/>
      <c r="K42" s="229"/>
      <c r="L42" s="229"/>
      <c r="M42" s="229"/>
      <c r="N42" s="229"/>
      <c r="O42" s="229"/>
      <c r="Q42" s="253">
        <v>6</v>
      </c>
      <c r="R42" s="17" t="s">
        <v>112</v>
      </c>
      <c r="S42" s="262" t="s">
        <v>130</v>
      </c>
      <c r="T42" s="161">
        <v>16</v>
      </c>
      <c r="U42" s="161">
        <v>0</v>
      </c>
      <c r="V42" s="162">
        <f t="shared" si="6"/>
        <v>16</v>
      </c>
    </row>
    <row r="43" ht="31.5" spans="2:22">
      <c r="B43" s="194" t="s">
        <v>70</v>
      </c>
      <c r="C43" s="195" t="s">
        <v>4</v>
      </c>
      <c r="D43" s="195" t="s">
        <v>131</v>
      </c>
      <c r="E43" s="196" t="s">
        <v>132</v>
      </c>
      <c r="F43" s="197" t="s">
        <v>133</v>
      </c>
      <c r="G43" s="195" t="s">
        <v>134</v>
      </c>
      <c r="H43" s="198" t="s">
        <v>135</v>
      </c>
      <c r="J43" s="230" t="s">
        <v>3</v>
      </c>
      <c r="K43" s="230" t="s">
        <v>136</v>
      </c>
      <c r="L43" s="230"/>
      <c r="M43" s="230" t="s">
        <v>73</v>
      </c>
      <c r="N43" s="230" t="s">
        <v>74</v>
      </c>
      <c r="O43" s="230" t="s">
        <v>75</v>
      </c>
      <c r="Q43" s="253">
        <v>7</v>
      </c>
      <c r="R43" s="17" t="s">
        <v>112</v>
      </c>
      <c r="S43" s="262" t="s">
        <v>137</v>
      </c>
      <c r="T43" s="161">
        <v>12</v>
      </c>
      <c r="U43" s="161">
        <v>0</v>
      </c>
      <c r="V43" s="162">
        <f t="shared" si="6"/>
        <v>12</v>
      </c>
    </row>
    <row r="44" ht="21.75" customHeight="1" spans="2:22">
      <c r="B44" s="159">
        <v>1</v>
      </c>
      <c r="C44" s="160" t="s">
        <v>138</v>
      </c>
      <c r="D44" s="161" t="s">
        <v>139</v>
      </c>
      <c r="E44" s="17">
        <v>10</v>
      </c>
      <c r="F44" s="199">
        <v>4</v>
      </c>
      <c r="G44" s="17">
        <v>4</v>
      </c>
      <c r="H44" s="184">
        <f>F44-G44</f>
        <v>0</v>
      </c>
      <c r="J44" s="17">
        <v>1</v>
      </c>
      <c r="K44" s="12" t="s">
        <v>140</v>
      </c>
      <c r="L44" s="12"/>
      <c r="M44" s="12">
        <v>12</v>
      </c>
      <c r="N44" s="12">
        <v>8</v>
      </c>
      <c r="O44" s="231">
        <f>M44-N44</f>
        <v>4</v>
      </c>
      <c r="Q44" s="253">
        <v>8</v>
      </c>
      <c r="R44" s="17" t="s">
        <v>112</v>
      </c>
      <c r="S44" s="262" t="s">
        <v>141</v>
      </c>
      <c r="T44" s="161">
        <v>3</v>
      </c>
      <c r="U44" s="161">
        <v>0</v>
      </c>
      <c r="V44" s="162">
        <f t="shared" si="6"/>
        <v>3</v>
      </c>
    </row>
    <row r="45" ht="18" customHeight="1" spans="2:22">
      <c r="B45" s="159">
        <v>2</v>
      </c>
      <c r="C45" s="160" t="s">
        <v>138</v>
      </c>
      <c r="D45" s="161" t="s">
        <v>142</v>
      </c>
      <c r="E45" s="17">
        <v>20</v>
      </c>
      <c r="F45" s="17">
        <v>2</v>
      </c>
      <c r="G45" s="17">
        <v>0</v>
      </c>
      <c r="H45" s="184">
        <f>F45-G45</f>
        <v>2</v>
      </c>
      <c r="J45" s="17">
        <v>2</v>
      </c>
      <c r="K45" s="12" t="s">
        <v>143</v>
      </c>
      <c r="L45" s="12"/>
      <c r="M45" s="12">
        <v>15</v>
      </c>
      <c r="N45" s="12">
        <v>3</v>
      </c>
      <c r="O45" s="231">
        <f t="shared" ref="O45:O51" si="7">M45-N45</f>
        <v>12</v>
      </c>
      <c r="Q45" s="253">
        <v>9</v>
      </c>
      <c r="R45" s="17" t="s">
        <v>112</v>
      </c>
      <c r="S45" s="262" t="s">
        <v>144</v>
      </c>
      <c r="T45" s="161">
        <v>24</v>
      </c>
      <c r="U45" s="161">
        <v>0</v>
      </c>
      <c r="V45" s="162">
        <f t="shared" si="6"/>
        <v>24</v>
      </c>
    </row>
    <row r="46" ht="21" spans="2:22">
      <c r="B46" s="159">
        <v>3</v>
      </c>
      <c r="C46" s="160" t="s">
        <v>138</v>
      </c>
      <c r="D46" s="161" t="s">
        <v>145</v>
      </c>
      <c r="E46" s="17" t="s">
        <v>146</v>
      </c>
      <c r="F46" s="17">
        <v>2</v>
      </c>
      <c r="G46" s="17">
        <v>0</v>
      </c>
      <c r="H46" s="184">
        <f>F46-G46</f>
        <v>2</v>
      </c>
      <c r="J46" s="17">
        <v>3</v>
      </c>
      <c r="K46" s="12" t="s">
        <v>147</v>
      </c>
      <c r="L46" s="12"/>
      <c r="M46" s="12">
        <v>7</v>
      </c>
      <c r="N46" s="12">
        <v>0</v>
      </c>
      <c r="O46" s="231">
        <f t="shared" si="7"/>
        <v>7</v>
      </c>
      <c r="Q46" s="253">
        <v>10</v>
      </c>
      <c r="R46" s="17" t="s">
        <v>112</v>
      </c>
      <c r="S46" s="262" t="s">
        <v>148</v>
      </c>
      <c r="T46" s="161">
        <v>46</v>
      </c>
      <c r="U46" s="161">
        <v>13</v>
      </c>
      <c r="V46" s="162">
        <f t="shared" si="6"/>
        <v>33</v>
      </c>
    </row>
    <row r="47" ht="21" spans="2:22">
      <c r="B47" s="159">
        <v>4</v>
      </c>
      <c r="C47" s="186" t="s">
        <v>138</v>
      </c>
      <c r="D47" s="187" t="s">
        <v>145</v>
      </c>
      <c r="E47" s="200" t="s">
        <v>149</v>
      </c>
      <c r="F47" s="200">
        <v>1</v>
      </c>
      <c r="G47" s="200"/>
      <c r="H47" s="184">
        <f t="shared" ref="H47:H53" si="8">F47-G47</f>
        <v>1</v>
      </c>
      <c r="J47" s="17">
        <v>4</v>
      </c>
      <c r="K47" s="12" t="s">
        <v>150</v>
      </c>
      <c r="L47" s="12"/>
      <c r="M47" s="12">
        <v>6</v>
      </c>
      <c r="N47" s="12"/>
      <c r="O47" s="231">
        <f t="shared" si="7"/>
        <v>6</v>
      </c>
      <c r="Q47" s="253">
        <v>11</v>
      </c>
      <c r="R47" s="17" t="s">
        <v>151</v>
      </c>
      <c r="S47" s="262"/>
      <c r="T47" s="161">
        <v>3</v>
      </c>
      <c r="U47" s="161"/>
      <c r="V47" s="162">
        <f t="shared" ref="V47:V53" si="9">T47-U47</f>
        <v>3</v>
      </c>
    </row>
    <row r="48" ht="21" spans="2:22">
      <c r="B48" s="159">
        <v>5</v>
      </c>
      <c r="C48" s="186" t="s">
        <v>138</v>
      </c>
      <c r="D48" s="187" t="s">
        <v>139</v>
      </c>
      <c r="E48" s="200">
        <v>1</v>
      </c>
      <c r="F48" s="200">
        <v>1</v>
      </c>
      <c r="G48" s="200"/>
      <c r="H48" s="184">
        <f t="shared" si="8"/>
        <v>1</v>
      </c>
      <c r="J48" s="17">
        <v>5</v>
      </c>
      <c r="K48" s="12" t="s">
        <v>152</v>
      </c>
      <c r="L48" s="12"/>
      <c r="M48" s="12">
        <v>1</v>
      </c>
      <c r="N48" s="12"/>
      <c r="O48" s="231">
        <f t="shared" si="7"/>
        <v>1</v>
      </c>
      <c r="Q48" s="253">
        <v>12</v>
      </c>
      <c r="R48" s="17"/>
      <c r="S48" s="262"/>
      <c r="T48" s="161"/>
      <c r="U48" s="161"/>
      <c r="V48" s="162">
        <f t="shared" si="9"/>
        <v>0</v>
      </c>
    </row>
    <row r="49" ht="21" spans="2:22">
      <c r="B49" s="159">
        <v>6</v>
      </c>
      <c r="C49" s="186" t="s">
        <v>138</v>
      </c>
      <c r="D49" s="187" t="s">
        <v>139</v>
      </c>
      <c r="E49" s="200">
        <v>7.5</v>
      </c>
      <c r="F49" s="200">
        <v>3</v>
      </c>
      <c r="G49" s="200">
        <v>1</v>
      </c>
      <c r="H49" s="184">
        <f t="shared" si="8"/>
        <v>2</v>
      </c>
      <c r="J49" s="17">
        <v>6</v>
      </c>
      <c r="K49" s="12"/>
      <c r="L49" s="12"/>
      <c r="M49" s="12"/>
      <c r="N49" s="12"/>
      <c r="O49" s="231">
        <f t="shared" si="7"/>
        <v>0</v>
      </c>
      <c r="Q49" s="253">
        <v>13</v>
      </c>
      <c r="R49" s="17"/>
      <c r="S49" s="262"/>
      <c r="T49" s="161"/>
      <c r="U49" s="161"/>
      <c r="V49" s="162">
        <f t="shared" si="9"/>
        <v>0</v>
      </c>
    </row>
    <row r="50" ht="21" spans="2:22">
      <c r="B50" s="159">
        <v>7</v>
      </c>
      <c r="C50" s="186" t="s">
        <v>138</v>
      </c>
      <c r="D50" s="187" t="s">
        <v>139</v>
      </c>
      <c r="E50" s="200">
        <v>3.5</v>
      </c>
      <c r="F50" s="200">
        <v>3</v>
      </c>
      <c r="G50" s="200">
        <v>1</v>
      </c>
      <c r="H50" s="184">
        <f t="shared" si="8"/>
        <v>2</v>
      </c>
      <c r="J50" s="17">
        <v>7</v>
      </c>
      <c r="K50" s="12"/>
      <c r="L50" s="12"/>
      <c r="M50" s="12"/>
      <c r="N50" s="12"/>
      <c r="O50" s="231">
        <f t="shared" si="7"/>
        <v>0</v>
      </c>
      <c r="Q50" s="253">
        <v>14</v>
      </c>
      <c r="R50" s="17"/>
      <c r="S50" s="262"/>
      <c r="T50" s="161"/>
      <c r="U50" s="161"/>
      <c r="V50" s="162">
        <f t="shared" si="9"/>
        <v>0</v>
      </c>
    </row>
    <row r="51" ht="21" spans="2:22">
      <c r="B51" s="159">
        <v>8</v>
      </c>
      <c r="C51" s="186" t="s">
        <v>138</v>
      </c>
      <c r="D51" s="187" t="s">
        <v>153</v>
      </c>
      <c r="E51" s="200">
        <v>25</v>
      </c>
      <c r="F51" s="200">
        <v>1</v>
      </c>
      <c r="G51" s="200"/>
      <c r="H51" s="184">
        <f t="shared" si="8"/>
        <v>1</v>
      </c>
      <c r="J51" s="17">
        <v>8</v>
      </c>
      <c r="K51" s="12"/>
      <c r="L51" s="12"/>
      <c r="M51" s="12"/>
      <c r="N51" s="12"/>
      <c r="O51" s="231">
        <f t="shared" si="7"/>
        <v>0</v>
      </c>
      <c r="Q51" s="253">
        <v>15</v>
      </c>
      <c r="R51" s="17"/>
      <c r="S51" s="262"/>
      <c r="T51" s="161"/>
      <c r="U51" s="161"/>
      <c r="V51" s="162">
        <f t="shared" si="9"/>
        <v>0</v>
      </c>
    </row>
    <row r="52" ht="15.75" spans="2:22">
      <c r="B52" s="159">
        <v>9</v>
      </c>
      <c r="C52" s="186" t="s">
        <v>138</v>
      </c>
      <c r="D52" s="187" t="s">
        <v>139</v>
      </c>
      <c r="E52" s="200">
        <v>80</v>
      </c>
      <c r="F52" s="200">
        <v>1</v>
      </c>
      <c r="G52" s="200"/>
      <c r="H52" s="184">
        <f t="shared" si="8"/>
        <v>1</v>
      </c>
      <c r="Q52" s="253">
        <v>16</v>
      </c>
      <c r="R52" s="17"/>
      <c r="S52" s="262"/>
      <c r="T52" s="161"/>
      <c r="U52" s="161"/>
      <c r="V52" s="162">
        <f t="shared" si="9"/>
        <v>0</v>
      </c>
    </row>
    <row r="53" ht="16.5" spans="2:22">
      <c r="B53" s="159">
        <v>10</v>
      </c>
      <c r="C53" s="186" t="s">
        <v>138</v>
      </c>
      <c r="D53" s="187" t="s">
        <v>154</v>
      </c>
      <c r="E53" s="200">
        <v>40</v>
      </c>
      <c r="F53" s="200">
        <v>1</v>
      </c>
      <c r="G53" s="200"/>
      <c r="H53" s="184">
        <f t="shared" si="8"/>
        <v>1</v>
      </c>
      <c r="Q53" s="253">
        <v>17</v>
      </c>
      <c r="R53" s="17"/>
      <c r="S53" s="262" t="s">
        <v>47</v>
      </c>
      <c r="T53" s="161"/>
      <c r="U53" s="161"/>
      <c r="V53" s="162"/>
    </row>
    <row r="54" ht="23.25" customHeight="1" spans="2:22">
      <c r="B54" s="201" t="s">
        <v>155</v>
      </c>
      <c r="C54" s="202"/>
      <c r="D54" s="202"/>
      <c r="E54" s="202"/>
      <c r="F54" s="202"/>
      <c r="G54" s="202"/>
      <c r="H54" s="202"/>
      <c r="I54" s="232"/>
      <c r="Q54" s="253">
        <v>18</v>
      </c>
      <c r="R54" s="166"/>
      <c r="S54" s="263"/>
      <c r="T54" s="165"/>
      <c r="U54" s="165"/>
      <c r="V54" s="264"/>
    </row>
    <row r="55" ht="42.75" customHeight="1" spans="2:22">
      <c r="B55" s="203"/>
      <c r="C55" s="204"/>
      <c r="D55" s="204"/>
      <c r="E55" s="204"/>
      <c r="F55" s="204"/>
      <c r="G55" s="204"/>
      <c r="H55" s="204"/>
      <c r="I55" s="233"/>
      <c r="Q55" s="265" t="s">
        <v>156</v>
      </c>
      <c r="R55" s="266"/>
      <c r="S55" s="266"/>
      <c r="T55" s="266"/>
      <c r="U55" s="266"/>
      <c r="V55" s="267"/>
    </row>
    <row r="56" ht="32.25" customHeight="1" spans="2:22">
      <c r="B56" s="156" t="s">
        <v>70</v>
      </c>
      <c r="C56" s="205" t="s">
        <v>4</v>
      </c>
      <c r="D56" s="206" t="s">
        <v>157</v>
      </c>
      <c r="E56" s="207" t="s">
        <v>158</v>
      </c>
      <c r="F56" s="141" t="s">
        <v>159</v>
      </c>
      <c r="G56" s="141" t="s">
        <v>73</v>
      </c>
      <c r="H56" s="208" t="s">
        <v>7</v>
      </c>
      <c r="I56" s="234" t="s">
        <v>160</v>
      </c>
      <c r="Q56" s="268" t="s">
        <v>70</v>
      </c>
      <c r="R56" s="269" t="s">
        <v>161</v>
      </c>
      <c r="S56" s="269" t="s">
        <v>73</v>
      </c>
      <c r="T56" s="269" t="s">
        <v>7</v>
      </c>
      <c r="U56" s="269" t="s">
        <v>75</v>
      </c>
      <c r="V56" s="269"/>
    </row>
    <row r="57" ht="15.75" customHeight="1" spans="2:22">
      <c r="B57" s="159">
        <v>1</v>
      </c>
      <c r="C57" s="160" t="s">
        <v>162</v>
      </c>
      <c r="D57" s="161" t="s">
        <v>163</v>
      </c>
      <c r="E57" s="17" t="s">
        <v>164</v>
      </c>
      <c r="F57" s="11" t="s">
        <v>165</v>
      </c>
      <c r="G57" s="17">
        <v>1</v>
      </c>
      <c r="H57" s="209">
        <v>0</v>
      </c>
      <c r="I57" s="162">
        <f>G57-H57</f>
        <v>1</v>
      </c>
      <c r="Q57" s="270">
        <v>1</v>
      </c>
      <c r="R57" s="215" t="s">
        <v>166</v>
      </c>
      <c r="S57" s="271">
        <v>8</v>
      </c>
      <c r="T57" s="214">
        <v>0</v>
      </c>
      <c r="U57" s="214">
        <f>S57-T57</f>
        <v>8</v>
      </c>
      <c r="V57" s="215"/>
    </row>
    <row r="58" ht="15.75" spans="2:22">
      <c r="B58" s="159">
        <v>2</v>
      </c>
      <c r="C58" s="160" t="s">
        <v>167</v>
      </c>
      <c r="D58" s="161" t="s">
        <v>168</v>
      </c>
      <c r="E58" s="17" t="s">
        <v>169</v>
      </c>
      <c r="F58" s="11" t="s">
        <v>170</v>
      </c>
      <c r="G58" s="17">
        <v>2</v>
      </c>
      <c r="H58" s="209"/>
      <c r="I58" s="162">
        <f t="shared" ref="I58:I65" si="10">G58-H58</f>
        <v>2</v>
      </c>
      <c r="Q58" s="270">
        <v>2</v>
      </c>
      <c r="R58" s="17" t="s">
        <v>171</v>
      </c>
      <c r="S58" s="262">
        <v>8</v>
      </c>
      <c r="T58" s="161">
        <v>0</v>
      </c>
      <c r="U58" s="214">
        <f>S58-T58</f>
        <v>8</v>
      </c>
      <c r="V58" s="17"/>
    </row>
    <row r="59" ht="15.75" spans="2:22">
      <c r="B59" s="159">
        <v>3</v>
      </c>
      <c r="C59" s="160" t="s">
        <v>167</v>
      </c>
      <c r="D59" s="161" t="s">
        <v>168</v>
      </c>
      <c r="E59" s="17" t="s">
        <v>172</v>
      </c>
      <c r="F59" s="11" t="s">
        <v>21</v>
      </c>
      <c r="G59" s="17">
        <v>1</v>
      </c>
      <c r="H59" s="209"/>
      <c r="I59" s="162">
        <f t="shared" si="10"/>
        <v>1</v>
      </c>
      <c r="Q59" s="270">
        <v>3</v>
      </c>
      <c r="R59" s="17" t="s">
        <v>173</v>
      </c>
      <c r="S59" s="262">
        <v>6</v>
      </c>
      <c r="T59" s="161">
        <v>0</v>
      </c>
      <c r="U59" s="214">
        <f>S59-T59</f>
        <v>6</v>
      </c>
      <c r="V59" s="17"/>
    </row>
    <row r="60" ht="15.75" spans="2:22">
      <c r="B60" s="159">
        <v>4</v>
      </c>
      <c r="C60" s="160" t="s">
        <v>174</v>
      </c>
      <c r="D60" s="161" t="s">
        <v>168</v>
      </c>
      <c r="E60" s="17" t="s">
        <v>169</v>
      </c>
      <c r="F60" s="11" t="s">
        <v>18</v>
      </c>
      <c r="G60" s="17">
        <v>1</v>
      </c>
      <c r="H60" s="209"/>
      <c r="I60" s="162">
        <f t="shared" si="10"/>
        <v>1</v>
      </c>
      <c r="Q60" s="272"/>
      <c r="R60" s="17"/>
      <c r="S60" s="262"/>
      <c r="T60" s="161"/>
      <c r="U60" s="161"/>
      <c r="V60" s="17"/>
    </row>
    <row r="61" ht="15.75" spans="2:22">
      <c r="B61" s="159">
        <v>5</v>
      </c>
      <c r="C61" s="160" t="s">
        <v>175</v>
      </c>
      <c r="D61" s="161" t="s">
        <v>168</v>
      </c>
      <c r="E61" s="17" t="s">
        <v>169</v>
      </c>
      <c r="F61" s="11" t="s">
        <v>176</v>
      </c>
      <c r="G61" s="17">
        <v>1</v>
      </c>
      <c r="H61" s="209"/>
      <c r="I61" s="162">
        <f t="shared" si="10"/>
        <v>1</v>
      </c>
      <c r="Q61" s="272"/>
      <c r="R61" s="273"/>
      <c r="S61" s="273"/>
      <c r="T61" s="273"/>
      <c r="U61" s="273"/>
      <c r="V61" s="273"/>
    </row>
    <row r="62" ht="15.75" spans="2:22">
      <c r="B62" s="159">
        <v>6</v>
      </c>
      <c r="C62" s="160" t="s">
        <v>177</v>
      </c>
      <c r="D62" s="161" t="s">
        <v>168</v>
      </c>
      <c r="E62" s="17" t="s">
        <v>169</v>
      </c>
      <c r="F62" s="11" t="s">
        <v>176</v>
      </c>
      <c r="G62" s="17">
        <v>1</v>
      </c>
      <c r="H62" s="209"/>
      <c r="I62" s="162">
        <f t="shared" si="10"/>
        <v>1</v>
      </c>
      <c r="Q62" s="273"/>
      <c r="R62" s="273"/>
      <c r="S62" s="273"/>
      <c r="T62" s="273"/>
      <c r="U62" s="273"/>
      <c r="V62" s="273"/>
    </row>
    <row r="63" ht="30" spans="2:20">
      <c r="B63" s="159">
        <v>7</v>
      </c>
      <c r="C63" s="160" t="s">
        <v>178</v>
      </c>
      <c r="D63" s="161" t="s">
        <v>179</v>
      </c>
      <c r="E63" s="17" t="s">
        <v>164</v>
      </c>
      <c r="F63" s="2" t="s">
        <v>180</v>
      </c>
      <c r="G63" s="17">
        <v>1</v>
      </c>
      <c r="H63" s="209">
        <v>1</v>
      </c>
      <c r="I63" s="162">
        <f t="shared" si="10"/>
        <v>0</v>
      </c>
      <c r="Q63" s="274"/>
      <c r="R63" s="274"/>
      <c r="S63" s="274"/>
      <c r="T63" s="274"/>
    </row>
    <row r="64" ht="15.75" spans="2:9">
      <c r="B64" s="159">
        <v>8</v>
      </c>
      <c r="C64" s="160" t="s">
        <v>181</v>
      </c>
      <c r="D64" s="161">
        <v>220</v>
      </c>
      <c r="E64" s="17" t="s">
        <v>169</v>
      </c>
      <c r="F64" s="11" t="s">
        <v>182</v>
      </c>
      <c r="G64" s="17">
        <v>2</v>
      </c>
      <c r="H64" s="209">
        <v>1</v>
      </c>
      <c r="I64" s="162">
        <f t="shared" si="10"/>
        <v>1</v>
      </c>
    </row>
    <row r="65" ht="16.5" spans="2:9">
      <c r="B65" s="163">
        <v>9</v>
      </c>
      <c r="C65" s="164" t="s">
        <v>155</v>
      </c>
      <c r="D65" s="165">
        <v>220</v>
      </c>
      <c r="E65" s="166" t="s">
        <v>172</v>
      </c>
      <c r="F65" s="275" t="s">
        <v>26</v>
      </c>
      <c r="G65" s="276">
        <v>1</v>
      </c>
      <c r="H65" s="277">
        <v>0</v>
      </c>
      <c r="I65" s="167">
        <f t="shared" si="10"/>
        <v>1</v>
      </c>
    </row>
    <row r="66" ht="15.75" customHeight="1" spans="1:9">
      <c r="A66" s="278" t="s">
        <v>183</v>
      </c>
      <c r="B66" s="279"/>
      <c r="C66" s="279"/>
      <c r="D66" s="279"/>
      <c r="E66" s="279"/>
      <c r="F66" s="279"/>
      <c r="G66" s="279"/>
      <c r="H66" s="280"/>
      <c r="I66" s="307"/>
    </row>
    <row r="67" ht="15.75" customHeight="1" spans="1:8">
      <c r="A67" s="281"/>
      <c r="B67" s="282"/>
      <c r="C67" s="282"/>
      <c r="D67" s="282"/>
      <c r="E67" s="282"/>
      <c r="F67" s="282"/>
      <c r="G67" s="282"/>
      <c r="H67" s="283"/>
    </row>
    <row r="68" ht="15.75" customHeight="1" spans="1:8">
      <c r="A68" s="281"/>
      <c r="B68" s="282"/>
      <c r="C68" s="282"/>
      <c r="D68" s="282"/>
      <c r="E68" s="282"/>
      <c r="F68" s="282"/>
      <c r="G68" s="282"/>
      <c r="H68" s="283"/>
    </row>
    <row r="69" ht="15.75" customHeight="1" spans="1:8">
      <c r="A69" s="284"/>
      <c r="B69" s="285"/>
      <c r="C69" s="285"/>
      <c r="D69" s="285"/>
      <c r="E69" s="285"/>
      <c r="F69" s="285"/>
      <c r="G69" s="285"/>
      <c r="H69" s="286"/>
    </row>
    <row r="70" ht="29.25" customHeight="1" spans="1:8">
      <c r="A70" s="287"/>
      <c r="B70" s="288" t="s">
        <v>70</v>
      </c>
      <c r="C70" s="289" t="s">
        <v>4</v>
      </c>
      <c r="D70" s="290" t="s">
        <v>184</v>
      </c>
      <c r="E70" s="290" t="s">
        <v>185</v>
      </c>
      <c r="F70" s="291" t="s">
        <v>73</v>
      </c>
      <c r="G70" s="289" t="s">
        <v>74</v>
      </c>
      <c r="H70" s="292" t="s">
        <v>186</v>
      </c>
    </row>
    <row r="71" ht="15.75" customHeight="1" spans="1:8">
      <c r="A71" s="293"/>
      <c r="B71" s="294">
        <v>1</v>
      </c>
      <c r="C71" s="295" t="s">
        <v>183</v>
      </c>
      <c r="D71" s="296" t="s">
        <v>187</v>
      </c>
      <c r="E71" s="297" t="s">
        <v>188</v>
      </c>
      <c r="F71" s="294">
        <v>11</v>
      </c>
      <c r="G71" s="294">
        <v>7</v>
      </c>
      <c r="H71" s="298">
        <f>F71-G71</f>
        <v>4</v>
      </c>
    </row>
    <row r="72" ht="15.75" customHeight="1" spans="1:8">
      <c r="A72" s="293"/>
      <c r="B72" s="294">
        <v>2</v>
      </c>
      <c r="C72" s="299"/>
      <c r="D72" s="296"/>
      <c r="E72" s="296"/>
      <c r="F72" s="300"/>
      <c r="G72" s="296"/>
      <c r="H72" s="298">
        <f t="shared" ref="H72:H73" si="11">F72-G72</f>
        <v>0</v>
      </c>
    </row>
    <row r="73" ht="17.25" spans="1:8">
      <c r="A73" s="301"/>
      <c r="B73" s="302">
        <v>3</v>
      </c>
      <c r="C73" s="303"/>
      <c r="D73" s="304"/>
      <c r="E73" s="304"/>
      <c r="F73" s="305"/>
      <c r="G73" s="305"/>
      <c r="H73" s="306">
        <f t="shared" si="11"/>
        <v>0</v>
      </c>
    </row>
    <row r="74" ht="16.5" customHeight="1"/>
    <row r="122" spans="2:2">
      <c r="B122" s="159"/>
    </row>
    <row r="123" spans="2:2">
      <c r="B123" s="159"/>
    </row>
    <row r="124" spans="2:2">
      <c r="B124" s="159"/>
    </row>
    <row r="125" spans="2:2">
      <c r="B125" s="159"/>
    </row>
    <row r="126" spans="2:2">
      <c r="B126" s="159"/>
    </row>
    <row r="127" spans="2:2">
      <c r="B127" s="159"/>
    </row>
    <row r="128" spans="2:2">
      <c r="B128" s="159"/>
    </row>
    <row r="129" spans="2:2">
      <c r="B129" s="159"/>
    </row>
    <row r="130" spans="2:2">
      <c r="B130" s="159"/>
    </row>
    <row r="131" spans="2:2">
      <c r="B131" s="159"/>
    </row>
    <row r="132" spans="2:2">
      <c r="B132" s="159"/>
    </row>
    <row r="133" spans="2:2">
      <c r="B133" s="159"/>
    </row>
  </sheetData>
  <mergeCells count="13">
    <mergeCell ref="Q15:V15"/>
    <mergeCell ref="Q35:V35"/>
    <mergeCell ref="B42:H42"/>
    <mergeCell ref="Q55:V55"/>
    <mergeCell ref="Q2:V5"/>
    <mergeCell ref="B2:G5"/>
    <mergeCell ref="J2:O5"/>
    <mergeCell ref="J22:O24"/>
    <mergeCell ref="Q22:V24"/>
    <mergeCell ref="B35:H37"/>
    <mergeCell ref="B54:I55"/>
    <mergeCell ref="A66:H69"/>
    <mergeCell ref="J40:O4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zoomScale="140" zoomScaleNormal="140" topLeftCell="A66" workbookViewId="0">
      <selection activeCell="G77" sqref="G77"/>
    </sheetView>
  </sheetViews>
  <sheetFormatPr defaultColWidth="9" defaultRowHeight="15" outlineLevelCol="7"/>
  <cols>
    <col min="1" max="1" width="4.85714285714286" customWidth="1"/>
    <col min="2" max="2" width="18" customWidth="1"/>
    <col min="3" max="3" width="54.7142857142857" customWidth="1"/>
    <col min="4" max="4" width="15.8571428571429" customWidth="1"/>
    <col min="5" max="5" width="14.8571428571429" customWidth="1"/>
    <col min="8" max="8" width="11.4285714285714" customWidth="1"/>
  </cols>
  <sheetData>
    <row r="1" spans="1:8">
      <c r="A1" s="107" t="s">
        <v>189</v>
      </c>
      <c r="B1" s="107"/>
      <c r="C1" s="107"/>
      <c r="D1" s="107"/>
      <c r="E1" s="107"/>
      <c r="F1" s="107"/>
      <c r="G1" s="107"/>
      <c r="H1" s="107"/>
    </row>
    <row r="2" spans="1:8">
      <c r="A2" s="107"/>
      <c r="B2" s="107"/>
      <c r="C2" s="107"/>
      <c r="D2" s="107"/>
      <c r="E2" s="107"/>
      <c r="F2" s="107"/>
      <c r="G2" s="107"/>
      <c r="H2" s="107"/>
    </row>
    <row r="3" spans="1:8">
      <c r="A3" s="107"/>
      <c r="B3" s="107"/>
      <c r="C3" s="107"/>
      <c r="D3" s="107"/>
      <c r="E3" s="107"/>
      <c r="F3" s="107"/>
      <c r="G3" s="107"/>
      <c r="H3" s="107"/>
    </row>
    <row r="4" spans="1:8">
      <c r="A4" s="107"/>
      <c r="B4" s="107"/>
      <c r="C4" s="107"/>
      <c r="D4" s="107"/>
      <c r="E4" s="107"/>
      <c r="F4" s="107"/>
      <c r="G4" s="107"/>
      <c r="H4" s="107"/>
    </row>
    <row r="5" spans="1:8">
      <c r="A5" s="107"/>
      <c r="B5" s="107"/>
      <c r="C5" s="107"/>
      <c r="D5" s="107"/>
      <c r="E5" s="107"/>
      <c r="F5" s="107"/>
      <c r="G5" s="107"/>
      <c r="H5" s="107"/>
    </row>
    <row r="6" ht="30" spans="1:8">
      <c r="A6" s="108" t="s">
        <v>3</v>
      </c>
      <c r="B6" s="109" t="s">
        <v>190</v>
      </c>
      <c r="C6" s="109" t="s">
        <v>191</v>
      </c>
      <c r="D6" s="109" t="s">
        <v>82</v>
      </c>
      <c r="E6" s="109"/>
      <c r="F6" s="109" t="s">
        <v>6</v>
      </c>
      <c r="G6" s="109" t="s">
        <v>7</v>
      </c>
      <c r="H6" s="109" t="s">
        <v>75</v>
      </c>
    </row>
    <row r="7" ht="18.75" spans="1:8">
      <c r="A7" s="11">
        <v>1</v>
      </c>
      <c r="B7" s="17" t="s">
        <v>192</v>
      </c>
      <c r="C7" s="55" t="s">
        <v>193</v>
      </c>
      <c r="D7" s="17"/>
      <c r="E7" s="17"/>
      <c r="F7" s="17">
        <v>7</v>
      </c>
      <c r="G7" s="17">
        <v>0</v>
      </c>
      <c r="H7" s="129">
        <f>F7-G7</f>
        <v>7</v>
      </c>
    </row>
    <row r="8" ht="18.75" spans="1:8">
      <c r="A8" s="11">
        <v>2</v>
      </c>
      <c r="B8" s="17" t="s">
        <v>192</v>
      </c>
      <c r="C8" s="55" t="s">
        <v>194</v>
      </c>
      <c r="D8" s="17"/>
      <c r="E8" s="17"/>
      <c r="F8" s="17">
        <v>14</v>
      </c>
      <c r="G8" s="17">
        <v>0</v>
      </c>
      <c r="H8" s="129">
        <f t="shared" ref="H8:H30" si="0">F8-G8</f>
        <v>14</v>
      </c>
    </row>
    <row r="9" ht="18.75" spans="1:8">
      <c r="A9" s="11">
        <v>3</v>
      </c>
      <c r="B9" s="17" t="s">
        <v>192</v>
      </c>
      <c r="C9" s="131" t="s">
        <v>195</v>
      </c>
      <c r="D9" s="132">
        <v>6206</v>
      </c>
      <c r="E9" s="132"/>
      <c r="F9" s="132">
        <v>103</v>
      </c>
      <c r="G9" s="132">
        <v>16</v>
      </c>
      <c r="H9" s="129">
        <f t="shared" si="0"/>
        <v>87</v>
      </c>
    </row>
    <row r="10" ht="18.75" spans="1:8">
      <c r="A10" s="11">
        <v>4</v>
      </c>
      <c r="B10" s="17" t="s">
        <v>192</v>
      </c>
      <c r="C10" s="55" t="s">
        <v>196</v>
      </c>
      <c r="D10" s="17"/>
      <c r="E10" s="17"/>
      <c r="F10" s="17">
        <v>11</v>
      </c>
      <c r="G10" s="17">
        <v>0</v>
      </c>
      <c r="H10" s="129">
        <f t="shared" si="0"/>
        <v>11</v>
      </c>
    </row>
    <row r="11" ht="18.75" spans="1:8">
      <c r="A11" s="11">
        <v>5</v>
      </c>
      <c r="B11" s="17" t="s">
        <v>192</v>
      </c>
      <c r="C11" s="55" t="s">
        <v>197</v>
      </c>
      <c r="D11" s="17"/>
      <c r="E11" s="17"/>
      <c r="F11" s="17">
        <v>10</v>
      </c>
      <c r="G11" s="17">
        <v>0</v>
      </c>
      <c r="H11" s="129">
        <f t="shared" si="0"/>
        <v>10</v>
      </c>
    </row>
    <row r="12" ht="18.75" spans="1:8">
      <c r="A12" s="11">
        <v>6</v>
      </c>
      <c r="B12" s="17" t="s">
        <v>192</v>
      </c>
      <c r="C12" s="55" t="s">
        <v>198</v>
      </c>
      <c r="D12" s="17"/>
      <c r="E12" s="17"/>
      <c r="F12" s="17">
        <v>2</v>
      </c>
      <c r="G12" s="17">
        <v>1</v>
      </c>
      <c r="H12" s="129">
        <f t="shared" si="0"/>
        <v>1</v>
      </c>
    </row>
    <row r="13" ht="18.75" spans="1:8">
      <c r="A13" s="11">
        <v>7</v>
      </c>
      <c r="B13" s="17" t="s">
        <v>192</v>
      </c>
      <c r="C13" s="55" t="s">
        <v>199</v>
      </c>
      <c r="D13" s="17" t="s">
        <v>200</v>
      </c>
      <c r="E13" s="17" t="s">
        <v>201</v>
      </c>
      <c r="F13" s="17">
        <v>6</v>
      </c>
      <c r="G13" s="17">
        <v>0</v>
      </c>
      <c r="H13" s="129">
        <f t="shared" si="0"/>
        <v>6</v>
      </c>
    </row>
    <row r="14" ht="18.75" spans="1:8">
      <c r="A14" s="11">
        <v>8</v>
      </c>
      <c r="B14" s="17" t="s">
        <v>192</v>
      </c>
      <c r="C14" s="55" t="s">
        <v>202</v>
      </c>
      <c r="D14" s="17" t="s">
        <v>203</v>
      </c>
      <c r="E14" s="17"/>
      <c r="F14" s="17">
        <v>8</v>
      </c>
      <c r="G14" s="17">
        <v>0</v>
      </c>
      <c r="H14" s="129">
        <f t="shared" si="0"/>
        <v>8</v>
      </c>
    </row>
    <row r="15" ht="18.75" spans="1:8">
      <c r="A15" s="11">
        <v>9</v>
      </c>
      <c r="B15" s="17" t="s">
        <v>192</v>
      </c>
      <c r="C15" s="55" t="s">
        <v>204</v>
      </c>
      <c r="D15" s="17"/>
      <c r="E15" s="17"/>
      <c r="F15" s="17">
        <v>10</v>
      </c>
      <c r="G15" s="17">
        <v>0</v>
      </c>
      <c r="H15" s="129">
        <f t="shared" si="0"/>
        <v>10</v>
      </c>
    </row>
    <row r="16" ht="18.75" spans="1:8">
      <c r="A16" s="11">
        <v>10</v>
      </c>
      <c r="B16" s="17" t="s">
        <v>192</v>
      </c>
      <c r="C16" s="55" t="s">
        <v>205</v>
      </c>
      <c r="D16" s="17" t="s">
        <v>206</v>
      </c>
      <c r="E16" s="17"/>
      <c r="F16" s="17">
        <v>10</v>
      </c>
      <c r="G16" s="17">
        <v>0</v>
      </c>
      <c r="H16" s="129">
        <f t="shared" si="0"/>
        <v>10</v>
      </c>
    </row>
    <row r="17" ht="18.75" spans="1:8">
      <c r="A17" s="11">
        <v>11</v>
      </c>
      <c r="B17" s="17" t="s">
        <v>192</v>
      </c>
      <c r="C17" s="55" t="s">
        <v>207</v>
      </c>
      <c r="D17" s="17"/>
      <c r="E17" s="17"/>
      <c r="F17" s="17">
        <v>10</v>
      </c>
      <c r="G17" s="17">
        <v>0</v>
      </c>
      <c r="H17" s="129">
        <f t="shared" si="0"/>
        <v>10</v>
      </c>
    </row>
    <row r="18" ht="18.75" spans="1:8">
      <c r="A18" s="11">
        <v>12</v>
      </c>
      <c r="B18" s="17" t="s">
        <v>192</v>
      </c>
      <c r="C18" s="55" t="s">
        <v>208</v>
      </c>
      <c r="D18" s="17"/>
      <c r="E18" s="17"/>
      <c r="F18" s="17">
        <v>10</v>
      </c>
      <c r="G18" s="17">
        <v>0</v>
      </c>
      <c r="H18" s="129">
        <f t="shared" si="0"/>
        <v>10</v>
      </c>
    </row>
    <row r="19" ht="18.75" spans="1:8">
      <c r="A19" s="11">
        <v>13</v>
      </c>
      <c r="B19" s="17" t="s">
        <v>192</v>
      </c>
      <c r="C19" s="55" t="s">
        <v>209</v>
      </c>
      <c r="D19" s="17"/>
      <c r="E19" s="17"/>
      <c r="F19" s="17">
        <v>2</v>
      </c>
      <c r="G19" s="17">
        <v>0</v>
      </c>
      <c r="H19" s="129">
        <f t="shared" si="0"/>
        <v>2</v>
      </c>
    </row>
    <row r="20" ht="18.75" spans="1:8">
      <c r="A20" s="11">
        <v>14</v>
      </c>
      <c r="B20" s="17" t="s">
        <v>192</v>
      </c>
      <c r="C20" s="55" t="s">
        <v>210</v>
      </c>
      <c r="D20" s="17"/>
      <c r="E20" s="17"/>
      <c r="F20" s="17">
        <v>3</v>
      </c>
      <c r="G20" s="17">
        <v>0</v>
      </c>
      <c r="H20" s="129">
        <f t="shared" si="0"/>
        <v>3</v>
      </c>
    </row>
    <row r="21" ht="18.75" spans="1:8">
      <c r="A21" s="11">
        <v>15</v>
      </c>
      <c r="B21" s="17" t="s">
        <v>192</v>
      </c>
      <c r="C21" s="55" t="s">
        <v>211</v>
      </c>
      <c r="D21" s="17" t="s">
        <v>16</v>
      </c>
      <c r="E21" s="17"/>
      <c r="F21" s="17">
        <v>2</v>
      </c>
      <c r="G21" s="17">
        <v>0</v>
      </c>
      <c r="H21" s="129">
        <f t="shared" si="0"/>
        <v>2</v>
      </c>
    </row>
    <row r="22" ht="18.75" spans="1:8">
      <c r="A22" s="11">
        <v>16</v>
      </c>
      <c r="B22" s="17" t="s">
        <v>192</v>
      </c>
      <c r="C22" s="55" t="s">
        <v>212</v>
      </c>
      <c r="D22" s="17" t="s">
        <v>213</v>
      </c>
      <c r="E22" s="17"/>
      <c r="F22" s="17">
        <v>1</v>
      </c>
      <c r="G22" s="17">
        <v>0</v>
      </c>
      <c r="H22" s="129">
        <f t="shared" si="0"/>
        <v>1</v>
      </c>
    </row>
    <row r="23" ht="18.75" spans="1:8">
      <c r="A23" s="11">
        <v>17</v>
      </c>
      <c r="B23" s="17" t="s">
        <v>192</v>
      </c>
      <c r="C23" s="55" t="s">
        <v>214</v>
      </c>
      <c r="D23" s="17" t="s">
        <v>215</v>
      </c>
      <c r="E23" s="17"/>
      <c r="F23" s="17">
        <v>1</v>
      </c>
      <c r="G23" s="17">
        <v>0</v>
      </c>
      <c r="H23" s="129">
        <f t="shared" si="0"/>
        <v>1</v>
      </c>
    </row>
    <row r="24" ht="18.75" spans="1:8">
      <c r="A24" s="11">
        <v>18</v>
      </c>
      <c r="B24" s="17" t="s">
        <v>192</v>
      </c>
      <c r="C24" s="55" t="s">
        <v>216</v>
      </c>
      <c r="D24" s="17" t="s">
        <v>217</v>
      </c>
      <c r="E24" s="17"/>
      <c r="F24" s="17">
        <v>7</v>
      </c>
      <c r="G24" s="17">
        <v>0</v>
      </c>
      <c r="H24" s="129">
        <f t="shared" si="0"/>
        <v>7</v>
      </c>
    </row>
    <row r="25" ht="18.75" spans="1:8">
      <c r="A25" s="11">
        <v>19</v>
      </c>
      <c r="B25" s="17" t="s">
        <v>192</v>
      </c>
      <c r="C25" s="55" t="s">
        <v>218</v>
      </c>
      <c r="D25" s="17"/>
      <c r="E25" s="17"/>
      <c r="F25" s="17">
        <v>8</v>
      </c>
      <c r="G25" s="17">
        <v>0</v>
      </c>
      <c r="H25" s="129">
        <f t="shared" si="0"/>
        <v>8</v>
      </c>
    </row>
    <row r="26" ht="18.75" spans="1:8">
      <c r="A26" s="11">
        <v>20</v>
      </c>
      <c r="B26" s="17" t="s">
        <v>192</v>
      </c>
      <c r="C26" s="55" t="s">
        <v>219</v>
      </c>
      <c r="D26" s="17"/>
      <c r="E26" s="17"/>
      <c r="F26" s="17">
        <v>12</v>
      </c>
      <c r="G26" s="17">
        <v>0</v>
      </c>
      <c r="H26" s="129">
        <f t="shared" si="0"/>
        <v>12</v>
      </c>
    </row>
    <row r="27" ht="18.75" spans="1:8">
      <c r="A27" s="11">
        <v>21</v>
      </c>
      <c r="B27" s="17" t="s">
        <v>192</v>
      </c>
      <c r="C27" s="55" t="s">
        <v>220</v>
      </c>
      <c r="D27" s="17"/>
      <c r="E27" s="17"/>
      <c r="F27" s="17">
        <v>2</v>
      </c>
      <c r="G27" s="17">
        <v>0</v>
      </c>
      <c r="H27" s="129">
        <f t="shared" si="0"/>
        <v>2</v>
      </c>
    </row>
    <row r="28" ht="18.75" spans="1:8">
      <c r="A28" s="11">
        <v>22</v>
      </c>
      <c r="B28" s="17" t="s">
        <v>192</v>
      </c>
      <c r="C28" s="55" t="s">
        <v>221</v>
      </c>
      <c r="D28" s="17"/>
      <c r="E28" s="17"/>
      <c r="F28" s="17">
        <v>1</v>
      </c>
      <c r="G28" s="17">
        <v>0</v>
      </c>
      <c r="H28" s="129">
        <f t="shared" si="0"/>
        <v>1</v>
      </c>
    </row>
    <row r="29" ht="18.75" spans="1:8">
      <c r="A29" s="11">
        <v>23</v>
      </c>
      <c r="B29" s="17" t="s">
        <v>192</v>
      </c>
      <c r="C29" s="55" t="s">
        <v>222</v>
      </c>
      <c r="D29" s="17"/>
      <c r="E29" s="17"/>
      <c r="F29" s="17">
        <v>12</v>
      </c>
      <c r="G29" s="17">
        <v>0</v>
      </c>
      <c r="H29" s="129">
        <f t="shared" si="0"/>
        <v>12</v>
      </c>
    </row>
    <row r="30" ht="18.75" spans="1:8">
      <c r="A30" s="11">
        <v>24</v>
      </c>
      <c r="B30" s="17" t="s">
        <v>192</v>
      </c>
      <c r="C30" s="55" t="s">
        <v>223</v>
      </c>
      <c r="D30" s="17" t="s">
        <v>224</v>
      </c>
      <c r="E30" s="17"/>
      <c r="F30" s="17">
        <v>5</v>
      </c>
      <c r="G30" s="17">
        <v>0</v>
      </c>
      <c r="H30" s="129">
        <f t="shared" si="0"/>
        <v>5</v>
      </c>
    </row>
    <row r="31" ht="18.75" spans="1:8">
      <c r="A31" s="133" t="s">
        <v>225</v>
      </c>
      <c r="B31" s="134"/>
      <c r="C31" s="134"/>
      <c r="D31" s="134"/>
      <c r="E31" s="134"/>
      <c r="F31" s="134"/>
      <c r="G31" s="134"/>
      <c r="H31" s="135"/>
    </row>
    <row r="32" ht="15.75" spans="1:8">
      <c r="A32" s="17">
        <v>26</v>
      </c>
      <c r="B32" s="17" t="s">
        <v>192</v>
      </c>
      <c r="C32" s="55" t="s">
        <v>226</v>
      </c>
      <c r="D32" s="17"/>
      <c r="E32" s="17"/>
      <c r="F32" s="17">
        <v>1</v>
      </c>
      <c r="G32" s="17">
        <v>0</v>
      </c>
      <c r="H32" s="136">
        <f>F32-G32</f>
        <v>1</v>
      </c>
    </row>
    <row r="33" ht="15.75" spans="1:8">
      <c r="A33" s="17">
        <v>27</v>
      </c>
      <c r="B33" s="17" t="s">
        <v>192</v>
      </c>
      <c r="C33" s="55" t="s">
        <v>227</v>
      </c>
      <c r="D33" s="17"/>
      <c r="E33" s="17"/>
      <c r="F33" s="17">
        <v>2</v>
      </c>
      <c r="G33" s="17">
        <v>0</v>
      </c>
      <c r="H33" s="136">
        <f t="shared" ref="H33:H48" si="1">F33-G33</f>
        <v>2</v>
      </c>
    </row>
    <row r="34" ht="15.75" spans="1:8">
      <c r="A34" s="17">
        <v>28</v>
      </c>
      <c r="B34" s="17" t="s">
        <v>192</v>
      </c>
      <c r="C34" s="55" t="s">
        <v>228</v>
      </c>
      <c r="D34" s="17"/>
      <c r="E34" s="17"/>
      <c r="F34" s="17">
        <v>2</v>
      </c>
      <c r="G34" s="17">
        <v>0</v>
      </c>
      <c r="H34" s="136">
        <f t="shared" si="1"/>
        <v>2</v>
      </c>
    </row>
    <row r="35" ht="15.75" spans="1:8">
      <c r="A35" s="17">
        <v>29</v>
      </c>
      <c r="B35" s="17" t="s">
        <v>192</v>
      </c>
      <c r="C35" s="55" t="s">
        <v>229</v>
      </c>
      <c r="D35" s="17" t="s">
        <v>230</v>
      </c>
      <c r="E35" s="17"/>
      <c r="F35" s="17">
        <v>10</v>
      </c>
      <c r="G35" s="17">
        <v>0</v>
      </c>
      <c r="H35" s="136">
        <f t="shared" si="1"/>
        <v>10</v>
      </c>
    </row>
    <row r="36" ht="15.75" spans="1:8">
      <c r="A36" s="17">
        <v>30</v>
      </c>
      <c r="B36" s="17" t="s">
        <v>192</v>
      </c>
      <c r="C36" s="55" t="s">
        <v>231</v>
      </c>
      <c r="D36" s="17"/>
      <c r="E36" s="17"/>
      <c r="F36" s="17">
        <v>10</v>
      </c>
      <c r="G36" s="17">
        <v>0</v>
      </c>
      <c r="H36" s="136">
        <f t="shared" si="1"/>
        <v>10</v>
      </c>
    </row>
    <row r="37" ht="15.75" spans="1:8">
      <c r="A37" s="17">
        <v>31</v>
      </c>
      <c r="B37" s="17" t="s">
        <v>192</v>
      </c>
      <c r="C37" s="55" t="s">
        <v>232</v>
      </c>
      <c r="D37" s="17"/>
      <c r="E37" s="17"/>
      <c r="F37" s="17">
        <v>12</v>
      </c>
      <c r="G37" s="17">
        <v>0</v>
      </c>
      <c r="H37" s="136">
        <f t="shared" si="1"/>
        <v>12</v>
      </c>
    </row>
    <row r="38" ht="15.75" spans="1:8">
      <c r="A38" s="17">
        <v>32</v>
      </c>
      <c r="B38" s="17" t="s">
        <v>192</v>
      </c>
      <c r="C38" s="29" t="s">
        <v>233</v>
      </c>
      <c r="D38" s="17"/>
      <c r="E38" s="17"/>
      <c r="F38" s="17">
        <v>4</v>
      </c>
      <c r="G38" s="17">
        <v>0</v>
      </c>
      <c r="H38" s="136">
        <f t="shared" si="1"/>
        <v>4</v>
      </c>
    </row>
    <row r="39" ht="15.75" spans="1:8">
      <c r="A39" s="17">
        <v>33</v>
      </c>
      <c r="B39" s="17" t="s">
        <v>192</v>
      </c>
      <c r="C39" s="29" t="s">
        <v>234</v>
      </c>
      <c r="D39" s="17"/>
      <c r="E39" s="17"/>
      <c r="F39" s="17">
        <v>2</v>
      </c>
      <c r="G39" s="17">
        <v>0</v>
      </c>
      <c r="H39" s="136">
        <f t="shared" si="1"/>
        <v>2</v>
      </c>
    </row>
    <row r="40" ht="15.75" spans="1:8">
      <c r="A40" s="17">
        <v>34</v>
      </c>
      <c r="B40" s="17" t="s">
        <v>192</v>
      </c>
      <c r="C40" s="29" t="s">
        <v>235</v>
      </c>
      <c r="D40" s="17"/>
      <c r="E40" s="17"/>
      <c r="F40" s="17">
        <v>1</v>
      </c>
      <c r="G40" s="17">
        <v>0</v>
      </c>
      <c r="H40" s="136">
        <f t="shared" si="1"/>
        <v>1</v>
      </c>
    </row>
    <row r="41" ht="15.75" spans="1:8">
      <c r="A41" s="17">
        <v>35</v>
      </c>
      <c r="B41" s="17" t="s">
        <v>192</v>
      </c>
      <c r="C41" s="29" t="s">
        <v>236</v>
      </c>
      <c r="D41" s="17"/>
      <c r="E41" s="17"/>
      <c r="F41" s="17">
        <v>2</v>
      </c>
      <c r="G41" s="17">
        <v>0</v>
      </c>
      <c r="H41" s="136">
        <f t="shared" si="1"/>
        <v>2</v>
      </c>
    </row>
    <row r="42" ht="15.75" spans="1:8">
      <c r="A42" s="17">
        <v>36</v>
      </c>
      <c r="B42" s="17" t="s">
        <v>192</v>
      </c>
      <c r="C42" s="29" t="s">
        <v>237</v>
      </c>
      <c r="D42" s="17"/>
      <c r="E42" s="17"/>
      <c r="F42" s="17">
        <v>1</v>
      </c>
      <c r="G42" s="17">
        <v>0</v>
      </c>
      <c r="H42" s="136">
        <f t="shared" si="1"/>
        <v>1</v>
      </c>
    </row>
    <row r="43" ht="15.75" spans="1:8">
      <c r="A43" s="17">
        <v>37</v>
      </c>
      <c r="B43" s="17" t="s">
        <v>192</v>
      </c>
      <c r="C43" s="29" t="s">
        <v>238</v>
      </c>
      <c r="D43" s="17"/>
      <c r="E43" s="17"/>
      <c r="F43" s="17">
        <v>15</v>
      </c>
      <c r="G43" s="17">
        <v>0</v>
      </c>
      <c r="H43" s="136">
        <f t="shared" si="1"/>
        <v>15</v>
      </c>
    </row>
    <row r="44" ht="15.75" spans="1:8">
      <c r="A44" s="17">
        <v>38</v>
      </c>
      <c r="B44" s="17" t="s">
        <v>192</v>
      </c>
      <c r="C44" s="29" t="s">
        <v>239</v>
      </c>
      <c r="D44" s="17"/>
      <c r="E44" s="17"/>
      <c r="F44" s="17">
        <v>2</v>
      </c>
      <c r="G44" s="17">
        <v>0</v>
      </c>
      <c r="H44" s="136">
        <f t="shared" si="1"/>
        <v>2</v>
      </c>
    </row>
    <row r="45" ht="15.75" spans="1:8">
      <c r="A45" s="17">
        <v>39</v>
      </c>
      <c r="B45" s="17" t="s">
        <v>192</v>
      </c>
      <c r="C45" s="29" t="s">
        <v>240</v>
      </c>
      <c r="D45" s="17"/>
      <c r="E45" s="17"/>
      <c r="F45" s="17">
        <v>5</v>
      </c>
      <c r="G45" s="17">
        <v>0</v>
      </c>
      <c r="H45" s="136">
        <f t="shared" si="1"/>
        <v>5</v>
      </c>
    </row>
    <row r="46" ht="15.75" spans="1:8">
      <c r="A46" s="17">
        <v>40</v>
      </c>
      <c r="B46" s="17" t="s">
        <v>192</v>
      </c>
      <c r="C46" s="29" t="s">
        <v>241</v>
      </c>
      <c r="D46" s="17"/>
      <c r="E46" s="17"/>
      <c r="F46" s="17">
        <v>1</v>
      </c>
      <c r="G46" s="17">
        <v>0</v>
      </c>
      <c r="H46" s="136">
        <f t="shared" si="1"/>
        <v>1</v>
      </c>
    </row>
    <row r="47" ht="15.75" spans="1:8">
      <c r="A47" s="17">
        <v>41</v>
      </c>
      <c r="B47" s="17" t="s">
        <v>192</v>
      </c>
      <c r="C47" s="137" t="s">
        <v>242</v>
      </c>
      <c r="D47" s="17"/>
      <c r="E47" s="17"/>
      <c r="F47" s="17">
        <v>4</v>
      </c>
      <c r="G47" s="17">
        <v>0</v>
      </c>
      <c r="H47" s="136">
        <f t="shared" si="1"/>
        <v>4</v>
      </c>
    </row>
    <row r="48" ht="15.75" spans="1:8">
      <c r="A48" s="17">
        <v>42</v>
      </c>
      <c r="B48" s="17" t="s">
        <v>192</v>
      </c>
      <c r="C48" s="29" t="s">
        <v>243</v>
      </c>
      <c r="D48" s="17"/>
      <c r="E48" s="17"/>
      <c r="F48" s="17">
        <v>4</v>
      </c>
      <c r="G48" s="17">
        <v>0</v>
      </c>
      <c r="H48" s="136">
        <f t="shared" si="1"/>
        <v>4</v>
      </c>
    </row>
    <row r="49" ht="15.75" spans="1:8">
      <c r="A49" s="17">
        <v>43</v>
      </c>
      <c r="B49" s="17" t="s">
        <v>192</v>
      </c>
      <c r="C49" s="29" t="s">
        <v>244</v>
      </c>
      <c r="D49" s="17"/>
      <c r="E49" s="17"/>
      <c r="F49" s="17"/>
      <c r="G49" s="17"/>
      <c r="H49" s="136">
        <f t="shared" ref="H49:H69" si="2">F49-G49</f>
        <v>0</v>
      </c>
    </row>
    <row r="50" ht="15.75" spans="1:8">
      <c r="A50" s="17">
        <v>44</v>
      </c>
      <c r="B50" s="17" t="s">
        <v>192</v>
      </c>
      <c r="C50" s="29" t="s">
        <v>245</v>
      </c>
      <c r="D50" s="17"/>
      <c r="E50" s="17"/>
      <c r="F50" s="17">
        <v>1</v>
      </c>
      <c r="G50" s="17">
        <v>0</v>
      </c>
      <c r="H50" s="136">
        <f t="shared" si="2"/>
        <v>1</v>
      </c>
    </row>
    <row r="51" ht="21" spans="1:8">
      <c r="A51" s="138" t="s">
        <v>246</v>
      </c>
      <c r="B51" s="139"/>
      <c r="C51" s="139"/>
      <c r="D51" s="139"/>
      <c r="E51" s="139"/>
      <c r="F51" s="139"/>
      <c r="G51" s="139"/>
      <c r="H51" s="140"/>
    </row>
    <row r="52" spans="1:8">
      <c r="A52" s="17">
        <v>46</v>
      </c>
      <c r="B52" s="17" t="s">
        <v>192</v>
      </c>
      <c r="C52" s="29" t="s">
        <v>247</v>
      </c>
      <c r="D52" s="17"/>
      <c r="E52" s="17"/>
      <c r="F52" s="17">
        <v>1</v>
      </c>
      <c r="G52" s="17">
        <v>0</v>
      </c>
      <c r="H52" s="141">
        <f t="shared" si="2"/>
        <v>1</v>
      </c>
    </row>
    <row r="53" spans="1:8">
      <c r="A53" s="17">
        <v>47</v>
      </c>
      <c r="B53" s="17" t="s">
        <v>192</v>
      </c>
      <c r="C53" s="29" t="s">
        <v>248</v>
      </c>
      <c r="D53" s="17"/>
      <c r="E53" s="17"/>
      <c r="F53" s="17">
        <v>2</v>
      </c>
      <c r="G53" s="17">
        <v>0</v>
      </c>
      <c r="H53" s="141">
        <f t="shared" si="2"/>
        <v>2</v>
      </c>
    </row>
    <row r="54" spans="1:8">
      <c r="A54" s="17">
        <v>48</v>
      </c>
      <c r="B54" s="17" t="s">
        <v>192</v>
      </c>
      <c r="C54" s="29" t="s">
        <v>249</v>
      </c>
      <c r="D54" s="17"/>
      <c r="E54" s="17"/>
      <c r="F54" s="17">
        <v>1</v>
      </c>
      <c r="G54" s="17">
        <v>0</v>
      </c>
      <c r="H54" s="141">
        <f t="shared" si="2"/>
        <v>1</v>
      </c>
    </row>
    <row r="55" spans="1:8">
      <c r="A55" s="17">
        <v>49</v>
      </c>
      <c r="B55" s="17" t="s">
        <v>192</v>
      </c>
      <c r="C55" s="29" t="s">
        <v>250</v>
      </c>
      <c r="D55" s="17"/>
      <c r="E55" s="17"/>
      <c r="F55" s="17">
        <v>1</v>
      </c>
      <c r="G55" s="17">
        <v>0</v>
      </c>
      <c r="H55" s="141">
        <f t="shared" si="2"/>
        <v>1</v>
      </c>
    </row>
    <row r="56" spans="1:8">
      <c r="A56" s="17">
        <v>50</v>
      </c>
      <c r="B56" s="17" t="s">
        <v>192</v>
      </c>
      <c r="C56" s="29" t="s">
        <v>251</v>
      </c>
      <c r="D56" s="17"/>
      <c r="E56" s="17"/>
      <c r="F56" s="17">
        <v>1</v>
      </c>
      <c r="G56" s="17">
        <v>0</v>
      </c>
      <c r="H56" s="141">
        <f t="shared" si="2"/>
        <v>1</v>
      </c>
    </row>
    <row r="57" spans="1:8">
      <c r="A57" s="17">
        <v>51</v>
      </c>
      <c r="B57" s="17" t="s">
        <v>192</v>
      </c>
      <c r="C57" s="29" t="s">
        <v>252</v>
      </c>
      <c r="D57" s="17"/>
      <c r="E57" s="17"/>
      <c r="F57" s="17">
        <v>1</v>
      </c>
      <c r="G57" s="17">
        <v>0</v>
      </c>
      <c r="H57" s="141">
        <f t="shared" si="2"/>
        <v>1</v>
      </c>
    </row>
    <row r="58" spans="1:8">
      <c r="A58" s="17">
        <v>52</v>
      </c>
      <c r="B58" s="17" t="s">
        <v>192</v>
      </c>
      <c r="C58" s="29" t="s">
        <v>253</v>
      </c>
      <c r="D58" s="17"/>
      <c r="E58" s="17"/>
      <c r="F58" s="17">
        <v>1</v>
      </c>
      <c r="G58" s="17">
        <v>0</v>
      </c>
      <c r="H58" s="141">
        <f t="shared" si="2"/>
        <v>1</v>
      </c>
    </row>
    <row r="59" spans="1:8">
      <c r="A59" s="17">
        <v>53</v>
      </c>
      <c r="B59" s="17" t="s">
        <v>192</v>
      </c>
      <c r="C59" s="29" t="s">
        <v>254</v>
      </c>
      <c r="D59" s="17"/>
      <c r="E59" s="17"/>
      <c r="F59" s="17">
        <v>1</v>
      </c>
      <c r="G59" s="17">
        <v>0</v>
      </c>
      <c r="H59" s="141">
        <f t="shared" si="2"/>
        <v>1</v>
      </c>
    </row>
    <row r="60" ht="18.75" spans="1:8">
      <c r="A60" s="142" t="s">
        <v>255</v>
      </c>
      <c r="B60" s="134"/>
      <c r="C60" s="134"/>
      <c r="D60" s="134"/>
      <c r="E60" s="134"/>
      <c r="F60" s="134"/>
      <c r="G60" s="134"/>
      <c r="H60" s="135"/>
    </row>
    <row r="61" spans="1:8">
      <c r="A61" s="17">
        <v>55</v>
      </c>
      <c r="B61" s="17" t="s">
        <v>192</v>
      </c>
      <c r="C61" s="143" t="s">
        <v>256</v>
      </c>
      <c r="D61" s="17" t="s">
        <v>257</v>
      </c>
      <c r="E61" s="17"/>
      <c r="F61" s="17">
        <v>6</v>
      </c>
      <c r="G61" s="17">
        <v>0</v>
      </c>
      <c r="H61" s="141">
        <f t="shared" si="2"/>
        <v>6</v>
      </c>
    </row>
    <row r="62" spans="1:8">
      <c r="A62" s="17">
        <v>56</v>
      </c>
      <c r="B62" s="17" t="s">
        <v>192</v>
      </c>
      <c r="C62" s="29" t="s">
        <v>258</v>
      </c>
      <c r="D62" s="17" t="s">
        <v>259</v>
      </c>
      <c r="E62" s="17"/>
      <c r="F62" s="17">
        <v>7</v>
      </c>
      <c r="G62" s="17">
        <v>0</v>
      </c>
      <c r="H62" s="141">
        <f t="shared" si="2"/>
        <v>7</v>
      </c>
    </row>
    <row r="63" spans="1:8">
      <c r="A63" s="17">
        <v>57</v>
      </c>
      <c r="B63" s="17" t="s">
        <v>192</v>
      </c>
      <c r="C63" s="29" t="s">
        <v>258</v>
      </c>
      <c r="D63" s="17" t="s">
        <v>260</v>
      </c>
      <c r="E63" s="17"/>
      <c r="F63" s="17">
        <v>2</v>
      </c>
      <c r="G63" s="17">
        <v>0</v>
      </c>
      <c r="H63" s="141">
        <f t="shared" si="2"/>
        <v>2</v>
      </c>
    </row>
    <row r="64" spans="1:8">
      <c r="A64" s="17">
        <v>58</v>
      </c>
      <c r="B64" s="17" t="s">
        <v>192</v>
      </c>
      <c r="C64" s="29" t="s">
        <v>261</v>
      </c>
      <c r="D64" s="17" t="s">
        <v>262</v>
      </c>
      <c r="E64" s="17"/>
      <c r="F64" s="17">
        <v>6</v>
      </c>
      <c r="G64" s="17">
        <v>0</v>
      </c>
      <c r="H64" s="141">
        <f t="shared" si="2"/>
        <v>6</v>
      </c>
    </row>
    <row r="65" spans="1:8">
      <c r="A65" s="17">
        <v>59</v>
      </c>
      <c r="B65" s="17" t="s">
        <v>192</v>
      </c>
      <c r="C65" s="29" t="s">
        <v>263</v>
      </c>
      <c r="D65" s="17" t="s">
        <v>264</v>
      </c>
      <c r="E65" s="17"/>
      <c r="F65" s="17">
        <v>7</v>
      </c>
      <c r="G65" s="17">
        <v>0</v>
      </c>
      <c r="H65" s="141">
        <f t="shared" si="2"/>
        <v>7</v>
      </c>
    </row>
    <row r="66" spans="1:8">
      <c r="A66" s="17">
        <v>60</v>
      </c>
      <c r="B66" s="17" t="s">
        <v>192</v>
      </c>
      <c r="C66" s="29" t="s">
        <v>265</v>
      </c>
      <c r="D66" s="17" t="s">
        <v>266</v>
      </c>
      <c r="E66" s="17"/>
      <c r="F66" s="17">
        <v>3</v>
      </c>
      <c r="G66" s="17">
        <v>0</v>
      </c>
      <c r="H66" s="141">
        <f t="shared" si="2"/>
        <v>3</v>
      </c>
    </row>
    <row r="67" spans="1:8">
      <c r="A67" s="17">
        <v>61</v>
      </c>
      <c r="B67" s="17" t="s">
        <v>192</v>
      </c>
      <c r="C67" s="29" t="s">
        <v>267</v>
      </c>
      <c r="D67" s="17" t="s">
        <v>268</v>
      </c>
      <c r="E67" s="17"/>
      <c r="F67" s="17">
        <v>2</v>
      </c>
      <c r="G67" s="17">
        <v>0</v>
      </c>
      <c r="H67" s="141">
        <f t="shared" si="2"/>
        <v>2</v>
      </c>
    </row>
    <row r="68" spans="1:8">
      <c r="A68" s="17">
        <v>62</v>
      </c>
      <c r="B68" s="17" t="s">
        <v>192</v>
      </c>
      <c r="C68" s="29" t="s">
        <v>269</v>
      </c>
      <c r="D68" s="17" t="s">
        <v>16</v>
      </c>
      <c r="E68" s="17"/>
      <c r="F68" s="17">
        <v>1</v>
      </c>
      <c r="G68" s="17">
        <v>0</v>
      </c>
      <c r="H68" s="141">
        <f t="shared" si="2"/>
        <v>1</v>
      </c>
    </row>
    <row r="69" spans="1:8">
      <c r="A69" s="17">
        <v>63</v>
      </c>
      <c r="B69" s="17" t="s">
        <v>192</v>
      </c>
      <c r="C69" s="29" t="s">
        <v>270</v>
      </c>
      <c r="D69" s="17" t="s">
        <v>271</v>
      </c>
      <c r="E69" s="17"/>
      <c r="F69" s="17">
        <v>3</v>
      </c>
      <c r="G69" s="17">
        <v>0</v>
      </c>
      <c r="H69" s="141">
        <f t="shared" si="2"/>
        <v>3</v>
      </c>
    </row>
    <row r="70" spans="1:8">
      <c r="A70" s="17">
        <v>64</v>
      </c>
      <c r="B70" s="17" t="s">
        <v>192</v>
      </c>
      <c r="C70" s="29" t="s">
        <v>272</v>
      </c>
      <c r="D70" s="17"/>
      <c r="E70" s="17"/>
      <c r="F70" s="17">
        <v>1</v>
      </c>
      <c r="G70" s="17">
        <v>0</v>
      </c>
      <c r="H70" s="141">
        <f t="shared" ref="H70:H76" si="3">F70-G70</f>
        <v>1</v>
      </c>
    </row>
    <row r="71" spans="1:8">
      <c r="A71" s="17">
        <v>65</v>
      </c>
      <c r="B71" s="17" t="s">
        <v>192</v>
      </c>
      <c r="C71" s="144" t="s">
        <v>273</v>
      </c>
      <c r="D71" s="145"/>
      <c r="E71" s="145"/>
      <c r="F71" s="145">
        <v>2</v>
      </c>
      <c r="G71" s="145">
        <v>2</v>
      </c>
      <c r="H71" s="144">
        <f t="shared" si="3"/>
        <v>0</v>
      </c>
    </row>
    <row r="72" spans="1:8">
      <c r="A72" s="17">
        <v>66</v>
      </c>
      <c r="B72" s="17" t="s">
        <v>192</v>
      </c>
      <c r="C72" s="145" t="s">
        <v>274</v>
      </c>
      <c r="D72" s="145"/>
      <c r="E72" s="145"/>
      <c r="F72" s="145">
        <v>15</v>
      </c>
      <c r="G72" s="145">
        <v>6</v>
      </c>
      <c r="H72" s="144">
        <f t="shared" si="3"/>
        <v>9</v>
      </c>
    </row>
    <row r="73" spans="1:8">
      <c r="A73" s="17">
        <v>67</v>
      </c>
      <c r="B73" s="17" t="s">
        <v>192</v>
      </c>
      <c r="C73" s="17" t="s">
        <v>275</v>
      </c>
      <c r="D73" s="17"/>
      <c r="E73" s="17"/>
      <c r="F73" s="17">
        <v>12</v>
      </c>
      <c r="G73" s="17"/>
      <c r="H73" s="141">
        <f t="shared" si="3"/>
        <v>12</v>
      </c>
    </row>
    <row r="74" spans="1:8">
      <c r="A74" s="17">
        <v>68</v>
      </c>
      <c r="B74" s="17" t="s">
        <v>192</v>
      </c>
      <c r="C74" s="17" t="s">
        <v>276</v>
      </c>
      <c r="D74" s="17"/>
      <c r="E74" s="17"/>
      <c r="F74" s="17">
        <v>12</v>
      </c>
      <c r="G74" s="17"/>
      <c r="H74" s="141">
        <f t="shared" si="3"/>
        <v>12</v>
      </c>
    </row>
    <row r="75" spans="1:8">
      <c r="A75" s="17">
        <v>69</v>
      </c>
      <c r="B75" s="17" t="s">
        <v>192</v>
      </c>
      <c r="C75" s="17" t="s">
        <v>277</v>
      </c>
      <c r="D75" s="17"/>
      <c r="E75" s="17"/>
      <c r="F75" s="17">
        <v>6</v>
      </c>
      <c r="G75" s="17"/>
      <c r="H75" s="141">
        <f t="shared" si="3"/>
        <v>6</v>
      </c>
    </row>
    <row r="76" spans="1:8">
      <c r="A76" s="17">
        <v>70</v>
      </c>
      <c r="B76" s="17" t="s">
        <v>192</v>
      </c>
      <c r="C76" s="17" t="s">
        <v>278</v>
      </c>
      <c r="D76" s="17"/>
      <c r="E76" s="17"/>
      <c r="F76" s="17">
        <v>10</v>
      </c>
      <c r="G76" s="17">
        <v>6</v>
      </c>
      <c r="H76" s="141">
        <f t="shared" si="3"/>
        <v>4</v>
      </c>
    </row>
    <row r="77" spans="1:8">
      <c r="A77" s="17">
        <v>71</v>
      </c>
      <c r="B77" s="17" t="s">
        <v>192</v>
      </c>
      <c r="C77" s="17" t="s">
        <v>279</v>
      </c>
      <c r="D77" s="17"/>
      <c r="E77" s="17"/>
      <c r="F77" s="17">
        <v>1</v>
      </c>
      <c r="G77" s="17"/>
      <c r="H77" s="141">
        <f t="shared" ref="H77:H83" si="4">F77-G77</f>
        <v>1</v>
      </c>
    </row>
    <row r="78" spans="1:8">
      <c r="A78" s="17">
        <v>72</v>
      </c>
      <c r="B78" s="17" t="s">
        <v>192</v>
      </c>
      <c r="C78" s="17" t="s">
        <v>280</v>
      </c>
      <c r="D78" s="17" t="s">
        <v>281</v>
      </c>
      <c r="E78" s="17"/>
      <c r="F78" s="17">
        <v>9</v>
      </c>
      <c r="G78" s="17"/>
      <c r="H78" s="141">
        <f t="shared" si="4"/>
        <v>9</v>
      </c>
    </row>
    <row r="79" spans="1:8">
      <c r="A79" s="17">
        <v>73</v>
      </c>
      <c r="B79" s="17" t="s">
        <v>192</v>
      </c>
      <c r="C79" s="17" t="s">
        <v>282</v>
      </c>
      <c r="D79" s="17" t="s">
        <v>283</v>
      </c>
      <c r="E79" s="17"/>
      <c r="F79" s="17">
        <v>9</v>
      </c>
      <c r="G79" s="17"/>
      <c r="H79" s="141">
        <f t="shared" si="4"/>
        <v>9</v>
      </c>
    </row>
    <row r="80" spans="1:8">
      <c r="A80" s="17">
        <v>74</v>
      </c>
      <c r="B80" s="17" t="s">
        <v>192</v>
      </c>
      <c r="C80" s="17"/>
      <c r="D80" s="17"/>
      <c r="E80" s="17"/>
      <c r="F80" s="17"/>
      <c r="G80" s="17"/>
      <c r="H80" s="141">
        <f t="shared" si="4"/>
        <v>0</v>
      </c>
    </row>
    <row r="81" spans="1:8">
      <c r="A81" s="17">
        <v>75</v>
      </c>
      <c r="B81" s="17" t="s">
        <v>192</v>
      </c>
      <c r="C81" s="17"/>
      <c r="D81" s="17"/>
      <c r="E81" s="17"/>
      <c r="F81" s="17"/>
      <c r="G81" s="17"/>
      <c r="H81" s="141">
        <f t="shared" si="4"/>
        <v>0</v>
      </c>
    </row>
    <row r="82" spans="1:8">
      <c r="A82" s="17">
        <v>76</v>
      </c>
      <c r="B82" s="17" t="s">
        <v>192</v>
      </c>
      <c r="C82" s="17"/>
      <c r="D82" s="17"/>
      <c r="E82" s="17"/>
      <c r="F82" s="17"/>
      <c r="G82" s="17"/>
      <c r="H82" s="141">
        <f t="shared" si="4"/>
        <v>0</v>
      </c>
    </row>
    <row r="83" spans="1:8">
      <c r="A83" s="17">
        <v>77</v>
      </c>
      <c r="B83" s="17" t="s">
        <v>192</v>
      </c>
      <c r="C83" s="17"/>
      <c r="D83" s="17"/>
      <c r="E83" s="17"/>
      <c r="F83" s="17"/>
      <c r="G83" s="17"/>
      <c r="H83" s="141">
        <f t="shared" si="4"/>
        <v>0</v>
      </c>
    </row>
  </sheetData>
  <mergeCells count="4">
    <mergeCell ref="A31:H31"/>
    <mergeCell ref="A51:H51"/>
    <mergeCell ref="A60:H60"/>
    <mergeCell ref="A1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workbookViewId="0">
      <selection activeCell="K41" sqref="K41"/>
    </sheetView>
  </sheetViews>
  <sheetFormatPr defaultColWidth="9.14285714285714" defaultRowHeight="15" outlineLevelCol="5"/>
  <cols>
    <col min="1" max="1" width="4.14285714285714" customWidth="1"/>
    <col min="2" max="2" width="68.1428571428571" customWidth="1"/>
    <col min="3" max="3" width="34.8571428571429" customWidth="1"/>
    <col min="4" max="4" width="10.2857142857143" customWidth="1"/>
    <col min="6" max="6" width="10.7142857142857" customWidth="1"/>
  </cols>
  <sheetData>
    <row r="1" spans="1:6">
      <c r="A1" s="126" t="s">
        <v>284</v>
      </c>
      <c r="B1" s="126"/>
      <c r="C1" s="126"/>
      <c r="D1" s="126"/>
      <c r="E1" s="126"/>
      <c r="F1" s="126"/>
    </row>
    <row r="2" spans="1:6">
      <c r="A2" s="126"/>
      <c r="B2" s="126"/>
      <c r="C2" s="126"/>
      <c r="D2" s="126"/>
      <c r="E2" s="126"/>
      <c r="F2" s="126"/>
    </row>
    <row r="3" spans="1:6">
      <c r="A3" s="126"/>
      <c r="B3" s="126"/>
      <c r="C3" s="126"/>
      <c r="D3" s="126"/>
      <c r="E3" s="126"/>
      <c r="F3" s="126"/>
    </row>
    <row r="4" spans="1:6">
      <c r="A4" s="126"/>
      <c r="B4" s="126"/>
      <c r="C4" s="126"/>
      <c r="D4" s="126"/>
      <c r="E4" s="126"/>
      <c r="F4" s="126"/>
    </row>
    <row r="5" ht="31.5" spans="1:6">
      <c r="A5" s="127" t="s">
        <v>70</v>
      </c>
      <c r="B5" s="128" t="s">
        <v>285</v>
      </c>
      <c r="C5" s="128" t="s">
        <v>286</v>
      </c>
      <c r="D5" s="128" t="s">
        <v>73</v>
      </c>
      <c r="E5" s="128" t="s">
        <v>74</v>
      </c>
      <c r="F5" s="128" t="s">
        <v>287</v>
      </c>
    </row>
    <row r="6" ht="18.75" spans="1:6">
      <c r="A6" s="17">
        <v>1</v>
      </c>
      <c r="B6" s="12" t="s">
        <v>288</v>
      </c>
      <c r="C6" s="12" t="s">
        <v>289</v>
      </c>
      <c r="D6" s="12">
        <v>8</v>
      </c>
      <c r="E6" s="12">
        <v>0</v>
      </c>
      <c r="F6" s="129">
        <f>D6-E6</f>
        <v>8</v>
      </c>
    </row>
    <row r="7" ht="18.75" spans="1:6">
      <c r="A7" s="17">
        <v>2</v>
      </c>
      <c r="B7" s="12" t="s">
        <v>288</v>
      </c>
      <c r="C7" s="12" t="s">
        <v>290</v>
      </c>
      <c r="D7" s="12">
        <v>2</v>
      </c>
      <c r="E7" s="12">
        <v>0</v>
      </c>
      <c r="F7" s="129">
        <f t="shared" ref="F7:F46" si="0">D7-E7</f>
        <v>2</v>
      </c>
    </row>
    <row r="8" ht="18.75" spans="1:6">
      <c r="A8" s="17">
        <v>3</v>
      </c>
      <c r="B8" s="12" t="s">
        <v>291</v>
      </c>
      <c r="C8" s="12" t="s">
        <v>292</v>
      </c>
      <c r="D8" s="12">
        <v>8</v>
      </c>
      <c r="E8" s="12">
        <v>0</v>
      </c>
      <c r="F8" s="129">
        <f t="shared" si="0"/>
        <v>8</v>
      </c>
    </row>
    <row r="9" ht="18.75" spans="1:6">
      <c r="A9" s="17">
        <v>4</v>
      </c>
      <c r="B9" s="12" t="s">
        <v>293</v>
      </c>
      <c r="C9" s="12" t="s">
        <v>294</v>
      </c>
      <c r="D9" s="12">
        <v>10</v>
      </c>
      <c r="E9" s="12">
        <v>0</v>
      </c>
      <c r="F9" s="129">
        <f t="shared" si="0"/>
        <v>10</v>
      </c>
    </row>
    <row r="10" ht="18.75" spans="1:6">
      <c r="A10" s="17">
        <v>5</v>
      </c>
      <c r="B10" s="12" t="s">
        <v>295</v>
      </c>
      <c r="C10" s="12" t="s">
        <v>296</v>
      </c>
      <c r="D10" s="12">
        <v>7</v>
      </c>
      <c r="E10" s="12">
        <v>0</v>
      </c>
      <c r="F10" s="129">
        <f t="shared" si="0"/>
        <v>7</v>
      </c>
    </row>
    <row r="11" ht="18.75" spans="1:6">
      <c r="A11" s="17">
        <v>6</v>
      </c>
      <c r="B11" s="12" t="s">
        <v>297</v>
      </c>
      <c r="C11" s="12" t="s">
        <v>298</v>
      </c>
      <c r="D11" s="12">
        <v>1</v>
      </c>
      <c r="E11" s="12">
        <v>0</v>
      </c>
      <c r="F11" s="129">
        <f t="shared" si="0"/>
        <v>1</v>
      </c>
    </row>
    <row r="12" ht="18.75" spans="1:6">
      <c r="A12" s="17">
        <v>7</v>
      </c>
      <c r="B12" s="12" t="s">
        <v>299</v>
      </c>
      <c r="C12" s="12" t="s">
        <v>300</v>
      </c>
      <c r="D12" s="12">
        <v>1</v>
      </c>
      <c r="E12" s="12">
        <v>0</v>
      </c>
      <c r="F12" s="129">
        <f t="shared" si="0"/>
        <v>1</v>
      </c>
    </row>
    <row r="13" ht="18.75" spans="1:6">
      <c r="A13" s="17">
        <v>8</v>
      </c>
      <c r="B13" s="12" t="s">
        <v>301</v>
      </c>
      <c r="C13" s="12" t="s">
        <v>302</v>
      </c>
      <c r="D13" s="12">
        <v>4</v>
      </c>
      <c r="E13" s="12">
        <v>0</v>
      </c>
      <c r="F13" s="129">
        <f t="shared" si="0"/>
        <v>4</v>
      </c>
    </row>
    <row r="14" ht="18.75" spans="1:6">
      <c r="A14" s="17">
        <v>9</v>
      </c>
      <c r="B14" s="12" t="s">
        <v>303</v>
      </c>
      <c r="C14" s="12" t="s">
        <v>304</v>
      </c>
      <c r="D14" s="12">
        <v>2</v>
      </c>
      <c r="E14" s="12">
        <v>0</v>
      </c>
      <c r="F14" s="129">
        <f t="shared" si="0"/>
        <v>2</v>
      </c>
    </row>
    <row r="15" ht="18.75" spans="1:6">
      <c r="A15" s="17">
        <v>10</v>
      </c>
      <c r="B15" s="12" t="s">
        <v>305</v>
      </c>
      <c r="C15" s="12" t="s">
        <v>306</v>
      </c>
      <c r="D15" s="12">
        <v>3</v>
      </c>
      <c r="E15" s="12">
        <v>0</v>
      </c>
      <c r="F15" s="129">
        <f t="shared" si="0"/>
        <v>3</v>
      </c>
    </row>
    <row r="16" ht="18.75" spans="1:6">
      <c r="A16" s="17">
        <v>11</v>
      </c>
      <c r="B16" s="12" t="s">
        <v>307</v>
      </c>
      <c r="C16" s="12" t="s">
        <v>308</v>
      </c>
      <c r="D16" s="12">
        <v>2</v>
      </c>
      <c r="E16" s="12">
        <v>0</v>
      </c>
      <c r="F16" s="129">
        <f t="shared" si="0"/>
        <v>2</v>
      </c>
    </row>
    <row r="17" ht="18.75" spans="1:6">
      <c r="A17" s="17">
        <v>12</v>
      </c>
      <c r="B17" s="12" t="s">
        <v>309</v>
      </c>
      <c r="C17" s="12" t="s">
        <v>310</v>
      </c>
      <c r="D17" s="12">
        <v>1</v>
      </c>
      <c r="E17" s="12">
        <v>0</v>
      </c>
      <c r="F17" s="129">
        <f t="shared" si="0"/>
        <v>1</v>
      </c>
    </row>
    <row r="18" ht="18.75" spans="1:6">
      <c r="A18" s="17">
        <v>13</v>
      </c>
      <c r="B18" s="12" t="s">
        <v>311</v>
      </c>
      <c r="C18" s="12" t="s">
        <v>312</v>
      </c>
      <c r="D18" s="12">
        <v>2</v>
      </c>
      <c r="E18" s="12">
        <v>0</v>
      </c>
      <c r="F18" s="129">
        <f t="shared" si="0"/>
        <v>2</v>
      </c>
    </row>
    <row r="19" ht="18.75" spans="1:6">
      <c r="A19" s="17">
        <v>14</v>
      </c>
      <c r="B19" s="12" t="s">
        <v>313</v>
      </c>
      <c r="C19" s="12"/>
      <c r="D19" s="12">
        <v>2</v>
      </c>
      <c r="E19" s="12">
        <v>0</v>
      </c>
      <c r="F19" s="129">
        <f t="shared" si="0"/>
        <v>2</v>
      </c>
    </row>
    <row r="20" ht="18.75" spans="1:6">
      <c r="A20" s="17">
        <v>15</v>
      </c>
      <c r="B20" s="12" t="s">
        <v>314</v>
      </c>
      <c r="C20" s="12"/>
      <c r="D20" s="12">
        <v>2</v>
      </c>
      <c r="E20" s="12">
        <v>0</v>
      </c>
      <c r="F20" s="129">
        <f t="shared" si="0"/>
        <v>2</v>
      </c>
    </row>
    <row r="21" ht="18.75" spans="1:6">
      <c r="A21" s="17">
        <v>16</v>
      </c>
      <c r="B21" s="12" t="s">
        <v>315</v>
      </c>
      <c r="C21" s="12"/>
      <c r="D21" s="12">
        <v>1</v>
      </c>
      <c r="E21" s="12">
        <v>1</v>
      </c>
      <c r="F21" s="129">
        <f t="shared" si="0"/>
        <v>0</v>
      </c>
    </row>
    <row r="22" ht="18.75" spans="1:6">
      <c r="A22" s="17">
        <v>17</v>
      </c>
      <c r="B22" s="12" t="s">
        <v>316</v>
      </c>
      <c r="C22" s="12"/>
      <c r="D22" s="12">
        <v>2</v>
      </c>
      <c r="E22" s="12">
        <v>0</v>
      </c>
      <c r="F22" s="129">
        <f t="shared" si="0"/>
        <v>2</v>
      </c>
    </row>
    <row r="23" ht="18.75" spans="1:6">
      <c r="A23" s="17">
        <v>18</v>
      </c>
      <c r="B23" s="12" t="s">
        <v>317</v>
      </c>
      <c r="C23" s="12"/>
      <c r="D23" s="12">
        <v>1</v>
      </c>
      <c r="E23" s="12">
        <v>0</v>
      </c>
      <c r="F23" s="129">
        <f t="shared" si="0"/>
        <v>1</v>
      </c>
    </row>
    <row r="24" ht="18.75" spans="1:6">
      <c r="A24" s="17">
        <v>19</v>
      </c>
      <c r="B24" s="103" t="s">
        <v>318</v>
      </c>
      <c r="C24" s="12"/>
      <c r="D24" s="12"/>
      <c r="E24" s="12">
        <v>0</v>
      </c>
      <c r="F24" s="129">
        <f t="shared" si="0"/>
        <v>0</v>
      </c>
    </row>
    <row r="25" ht="18.75" spans="1:6">
      <c r="A25" s="17">
        <v>20</v>
      </c>
      <c r="B25" s="12" t="s">
        <v>319</v>
      </c>
      <c r="C25" s="12"/>
      <c r="D25" s="12">
        <v>5</v>
      </c>
      <c r="E25" s="12">
        <v>0</v>
      </c>
      <c r="F25" s="129">
        <f t="shared" si="0"/>
        <v>5</v>
      </c>
    </row>
    <row r="26" ht="18.75" spans="1:6">
      <c r="A26" s="17">
        <v>21</v>
      </c>
      <c r="B26" s="12" t="s">
        <v>320</v>
      </c>
      <c r="C26" s="12"/>
      <c r="D26" s="12">
        <v>1</v>
      </c>
      <c r="E26" s="12">
        <v>0</v>
      </c>
      <c r="F26" s="129">
        <f t="shared" si="0"/>
        <v>1</v>
      </c>
    </row>
    <row r="27" ht="18.75" spans="1:6">
      <c r="A27" s="17">
        <v>22</v>
      </c>
      <c r="B27" s="12" t="s">
        <v>321</v>
      </c>
      <c r="C27" s="12"/>
      <c r="D27" s="12">
        <v>3</v>
      </c>
      <c r="E27" s="12">
        <v>0</v>
      </c>
      <c r="F27" s="129">
        <f t="shared" si="0"/>
        <v>3</v>
      </c>
    </row>
    <row r="28" ht="18.75" spans="1:6">
      <c r="A28" s="17">
        <v>23</v>
      </c>
      <c r="B28" s="12" t="s">
        <v>322</v>
      </c>
      <c r="C28" s="12"/>
      <c r="D28" s="12">
        <v>3</v>
      </c>
      <c r="E28" s="12">
        <v>0</v>
      </c>
      <c r="F28" s="129">
        <f t="shared" si="0"/>
        <v>3</v>
      </c>
    </row>
    <row r="29" ht="18.75" spans="1:6">
      <c r="A29" s="17">
        <v>24</v>
      </c>
      <c r="B29" s="12" t="s">
        <v>323</v>
      </c>
      <c r="C29" s="12"/>
      <c r="D29" s="12">
        <v>3</v>
      </c>
      <c r="E29" s="12">
        <v>0</v>
      </c>
      <c r="F29" s="129">
        <f t="shared" si="0"/>
        <v>3</v>
      </c>
    </row>
    <row r="30" ht="18.75" spans="1:6">
      <c r="A30" s="17">
        <v>25</v>
      </c>
      <c r="B30" s="12" t="s">
        <v>324</v>
      </c>
      <c r="C30" s="12"/>
      <c r="D30" s="12">
        <v>1</v>
      </c>
      <c r="E30" s="12">
        <v>0</v>
      </c>
      <c r="F30" s="129">
        <f t="shared" si="0"/>
        <v>1</v>
      </c>
    </row>
    <row r="31" ht="18.75" spans="1:6">
      <c r="A31" s="17">
        <v>26</v>
      </c>
      <c r="B31" s="12" t="s">
        <v>325</v>
      </c>
      <c r="C31" s="12"/>
      <c r="D31" s="12">
        <v>4</v>
      </c>
      <c r="E31" s="12">
        <v>0</v>
      </c>
      <c r="F31" s="129">
        <f t="shared" si="0"/>
        <v>4</v>
      </c>
    </row>
    <row r="32" ht="18.75" spans="1:6">
      <c r="A32" s="17">
        <v>27</v>
      </c>
      <c r="B32" s="12" t="s">
        <v>326</v>
      </c>
      <c r="C32" s="12"/>
      <c r="D32" s="12">
        <v>3</v>
      </c>
      <c r="E32" s="12">
        <v>0</v>
      </c>
      <c r="F32" s="129">
        <f t="shared" si="0"/>
        <v>3</v>
      </c>
    </row>
    <row r="33" ht="18.75" spans="1:6">
      <c r="A33" s="17">
        <v>28</v>
      </c>
      <c r="B33" s="103" t="s">
        <v>327</v>
      </c>
      <c r="C33" s="12"/>
      <c r="D33" s="12"/>
      <c r="E33" s="12">
        <v>0</v>
      </c>
      <c r="F33" s="129">
        <f t="shared" si="0"/>
        <v>0</v>
      </c>
    </row>
    <row r="34" ht="18.75" spans="1:6">
      <c r="A34" s="17">
        <v>29</v>
      </c>
      <c r="B34" s="12" t="s">
        <v>328</v>
      </c>
      <c r="C34" s="12"/>
      <c r="D34" s="12">
        <v>22</v>
      </c>
      <c r="E34" s="12">
        <v>2</v>
      </c>
      <c r="F34" s="129">
        <f t="shared" si="0"/>
        <v>20</v>
      </c>
    </row>
    <row r="35" ht="18.75" spans="1:6">
      <c r="A35" s="17">
        <v>30</v>
      </c>
      <c r="B35" s="12" t="s">
        <v>329</v>
      </c>
      <c r="C35" s="12"/>
      <c r="D35" s="12">
        <v>16</v>
      </c>
      <c r="E35" s="12">
        <v>0</v>
      </c>
      <c r="F35" s="129">
        <f t="shared" si="0"/>
        <v>16</v>
      </c>
    </row>
    <row r="36" ht="18.75" spans="1:6">
      <c r="A36" s="17">
        <v>31</v>
      </c>
      <c r="B36" s="12" t="s">
        <v>330</v>
      </c>
      <c r="C36" s="12"/>
      <c r="D36" s="12">
        <v>2</v>
      </c>
      <c r="E36" s="12">
        <v>0</v>
      </c>
      <c r="F36" s="129">
        <f t="shared" si="0"/>
        <v>2</v>
      </c>
    </row>
    <row r="37" ht="18.75" spans="1:6">
      <c r="A37" s="17">
        <v>32</v>
      </c>
      <c r="B37" s="103" t="s">
        <v>327</v>
      </c>
      <c r="C37" s="12"/>
      <c r="D37" s="12"/>
      <c r="E37" s="12">
        <v>0</v>
      </c>
      <c r="F37" s="129">
        <f t="shared" si="0"/>
        <v>0</v>
      </c>
    </row>
    <row r="38" ht="18.75" spans="1:6">
      <c r="A38" s="17">
        <v>33</v>
      </c>
      <c r="B38" s="12" t="s">
        <v>331</v>
      </c>
      <c r="C38" s="12"/>
      <c r="D38" s="12">
        <v>11</v>
      </c>
      <c r="E38" s="12">
        <v>0</v>
      </c>
      <c r="F38" s="129">
        <f t="shared" si="0"/>
        <v>11</v>
      </c>
    </row>
    <row r="39" ht="18.75" spans="1:6">
      <c r="A39" s="17">
        <v>34</v>
      </c>
      <c r="B39" s="5" t="s">
        <v>332</v>
      </c>
      <c r="C39" s="12"/>
      <c r="D39" s="12"/>
      <c r="E39" s="12">
        <v>0</v>
      </c>
      <c r="F39" s="129">
        <f t="shared" si="0"/>
        <v>0</v>
      </c>
    </row>
    <row r="40" ht="18.75" spans="1:6">
      <c r="A40" s="17">
        <v>35</v>
      </c>
      <c r="B40" s="12" t="s">
        <v>333</v>
      </c>
      <c r="C40" s="12"/>
      <c r="D40" s="12">
        <v>40</v>
      </c>
      <c r="E40" s="12">
        <v>0</v>
      </c>
      <c r="F40" s="129">
        <f t="shared" si="0"/>
        <v>40</v>
      </c>
    </row>
    <row r="41" ht="18.75" spans="1:6">
      <c r="A41" s="17">
        <v>36</v>
      </c>
      <c r="B41" s="12" t="s">
        <v>334</v>
      </c>
      <c r="C41" s="12"/>
      <c r="D41" s="12">
        <v>13</v>
      </c>
      <c r="E41" s="12">
        <v>0</v>
      </c>
      <c r="F41" s="129">
        <f t="shared" si="0"/>
        <v>13</v>
      </c>
    </row>
    <row r="42" ht="18.75" spans="1:6">
      <c r="A42" s="17">
        <v>37</v>
      </c>
      <c r="B42" s="12" t="s">
        <v>335</v>
      </c>
      <c r="C42" s="12"/>
      <c r="D42" s="12">
        <v>1</v>
      </c>
      <c r="E42" s="12">
        <v>0</v>
      </c>
      <c r="F42" s="129">
        <f t="shared" si="0"/>
        <v>1</v>
      </c>
    </row>
    <row r="43" ht="18.75" spans="1:6">
      <c r="A43" s="17">
        <v>38</v>
      </c>
      <c r="B43" s="12" t="s">
        <v>336</v>
      </c>
      <c r="C43" s="12"/>
      <c r="D43" s="12">
        <v>11</v>
      </c>
      <c r="E43" s="12">
        <v>0</v>
      </c>
      <c r="F43" s="129">
        <f t="shared" si="0"/>
        <v>11</v>
      </c>
    </row>
    <row r="44" ht="18.75" spans="1:6">
      <c r="A44" s="17">
        <v>39</v>
      </c>
      <c r="B44" s="103" t="s">
        <v>337</v>
      </c>
      <c r="C44" s="12"/>
      <c r="D44" s="12">
        <v>4</v>
      </c>
      <c r="E44" s="12">
        <v>0</v>
      </c>
      <c r="F44" s="129">
        <f t="shared" si="0"/>
        <v>4</v>
      </c>
    </row>
    <row r="45" ht="18.75" spans="1:6">
      <c r="A45" s="17">
        <v>40</v>
      </c>
      <c r="B45" s="12" t="s">
        <v>338</v>
      </c>
      <c r="C45" s="12"/>
      <c r="D45" s="12">
        <v>6</v>
      </c>
      <c r="E45" s="12">
        <v>0</v>
      </c>
      <c r="F45" s="129">
        <f t="shared" si="0"/>
        <v>6</v>
      </c>
    </row>
    <row r="46" ht="18.75" spans="1:6">
      <c r="A46" s="17">
        <v>41</v>
      </c>
      <c r="B46" s="12" t="s">
        <v>339</v>
      </c>
      <c r="C46" s="12"/>
      <c r="D46" s="12">
        <v>4</v>
      </c>
      <c r="E46" s="12">
        <v>0</v>
      </c>
      <c r="F46" s="14">
        <v>4</v>
      </c>
    </row>
    <row r="47" ht="18.75" spans="1:6">
      <c r="A47" s="17">
        <v>42</v>
      </c>
      <c r="B47" s="12" t="s">
        <v>340</v>
      </c>
      <c r="C47" s="12"/>
      <c r="D47" s="12">
        <v>4</v>
      </c>
      <c r="E47" s="12">
        <v>1</v>
      </c>
      <c r="F47" s="14">
        <f>D47-E47</f>
        <v>3</v>
      </c>
    </row>
    <row r="48" ht="18.75" spans="1:6">
      <c r="A48" s="17">
        <v>43</v>
      </c>
      <c r="B48" s="130"/>
      <c r="C48" s="130"/>
      <c r="D48" s="130"/>
      <c r="E48" s="130"/>
      <c r="F48" s="14">
        <f t="shared" ref="F48:F60" si="1">D48-E48</f>
        <v>0</v>
      </c>
    </row>
    <row r="49" ht="18.75" spans="1:6">
      <c r="A49" s="17">
        <v>44</v>
      </c>
      <c r="B49" s="12" t="s">
        <v>341</v>
      </c>
      <c r="C49" s="12"/>
      <c r="D49" s="12">
        <v>2</v>
      </c>
      <c r="E49" s="12"/>
      <c r="F49" s="14">
        <f t="shared" si="1"/>
        <v>2</v>
      </c>
    </row>
    <row r="50" ht="18.75" spans="1:6">
      <c r="A50" s="17">
        <v>45</v>
      </c>
      <c r="B50" s="17"/>
      <c r="C50" s="17"/>
      <c r="D50" s="17"/>
      <c r="E50" s="17"/>
      <c r="F50" s="14">
        <f t="shared" si="1"/>
        <v>0</v>
      </c>
    </row>
    <row r="51" ht="18.75" spans="1:6">
      <c r="A51" s="17">
        <v>46</v>
      </c>
      <c r="B51" s="17"/>
      <c r="C51" s="17"/>
      <c r="D51" s="17"/>
      <c r="E51" s="17"/>
      <c r="F51" s="14">
        <f t="shared" si="1"/>
        <v>0</v>
      </c>
    </row>
    <row r="52" ht="18.75" spans="1:6">
      <c r="A52" s="17">
        <v>47</v>
      </c>
      <c r="B52" s="17"/>
      <c r="C52" s="17"/>
      <c r="D52" s="17"/>
      <c r="E52" s="17"/>
      <c r="F52" s="14">
        <f t="shared" si="1"/>
        <v>0</v>
      </c>
    </row>
    <row r="53" ht="18.75" spans="1:6">
      <c r="A53" s="17">
        <v>48</v>
      </c>
      <c r="B53" s="17"/>
      <c r="C53" s="17"/>
      <c r="D53" s="17"/>
      <c r="E53" s="17"/>
      <c r="F53" s="14">
        <f t="shared" si="1"/>
        <v>0</v>
      </c>
    </row>
    <row r="54" ht="18.75" spans="1:6">
      <c r="A54" s="17">
        <v>49</v>
      </c>
      <c r="B54" s="17"/>
      <c r="C54" s="17"/>
      <c r="D54" s="17"/>
      <c r="E54" s="17"/>
      <c r="F54" s="14">
        <f t="shared" si="1"/>
        <v>0</v>
      </c>
    </row>
    <row r="55" ht="18.75" spans="1:6">
      <c r="A55" s="17">
        <v>50</v>
      </c>
      <c r="B55" s="17"/>
      <c r="C55" s="17"/>
      <c r="D55" s="17"/>
      <c r="E55" s="17"/>
      <c r="F55" s="14">
        <f t="shared" si="1"/>
        <v>0</v>
      </c>
    </row>
    <row r="56" ht="18.75" spans="1:6">
      <c r="A56" s="17">
        <v>51</v>
      </c>
      <c r="B56" s="17"/>
      <c r="C56" s="17"/>
      <c r="D56" s="17"/>
      <c r="E56" s="17"/>
      <c r="F56" s="14">
        <f t="shared" si="1"/>
        <v>0</v>
      </c>
    </row>
    <row r="57" ht="18.75" spans="1:6">
      <c r="A57" s="17">
        <v>52</v>
      </c>
      <c r="B57" s="17"/>
      <c r="C57" s="17"/>
      <c r="D57" s="17"/>
      <c r="E57" s="17"/>
      <c r="F57" s="14">
        <f t="shared" si="1"/>
        <v>0</v>
      </c>
    </row>
    <row r="58" ht="18.75" spans="1:6">
      <c r="A58" s="17">
        <v>53</v>
      </c>
      <c r="B58" s="17"/>
      <c r="C58" s="17"/>
      <c r="D58" s="17"/>
      <c r="E58" s="17"/>
      <c r="F58" s="14">
        <f t="shared" si="1"/>
        <v>0</v>
      </c>
    </row>
    <row r="59" ht="18.75" spans="1:6">
      <c r="A59" s="17">
        <v>54</v>
      </c>
      <c r="B59" s="17"/>
      <c r="C59" s="17"/>
      <c r="D59" s="17"/>
      <c r="E59" s="17"/>
      <c r="F59" s="14">
        <f t="shared" si="1"/>
        <v>0</v>
      </c>
    </row>
    <row r="60" ht="18.75" spans="1:6">
      <c r="A60" s="17">
        <v>55</v>
      </c>
      <c r="B60" s="17"/>
      <c r="C60" s="17"/>
      <c r="D60" s="17"/>
      <c r="E60" s="17"/>
      <c r="F60" s="14">
        <f t="shared" si="1"/>
        <v>0</v>
      </c>
    </row>
  </sheetData>
  <mergeCells count="1">
    <mergeCell ref="A1:F4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workbookViewId="0">
      <selection activeCell="G27" sqref="G27"/>
    </sheetView>
  </sheetViews>
  <sheetFormatPr defaultColWidth="9.14285714285714" defaultRowHeight="15"/>
  <cols>
    <col min="1" max="1" width="4.28571428571429" customWidth="1"/>
    <col min="2" max="2" width="18.8571428571429" customWidth="1"/>
    <col min="3" max="3" width="83.8571428571429" customWidth="1"/>
    <col min="4" max="4" width="31.7142857142857" customWidth="1"/>
    <col min="8" max="8" width="13" customWidth="1"/>
  </cols>
  <sheetData>
    <row r="1" spans="1:8">
      <c r="A1" s="107" t="s">
        <v>342</v>
      </c>
      <c r="B1" s="107"/>
      <c r="C1" s="107"/>
      <c r="D1" s="107"/>
      <c r="E1" s="107"/>
      <c r="F1" s="107"/>
      <c r="G1" s="107"/>
      <c r="H1" s="107"/>
    </row>
    <row r="2" spans="1:8">
      <c r="A2" s="107"/>
      <c r="B2" s="107"/>
      <c r="C2" s="107"/>
      <c r="D2" s="107"/>
      <c r="E2" s="107"/>
      <c r="F2" s="107"/>
      <c r="G2" s="107"/>
      <c r="H2" s="107"/>
    </row>
    <row r="3" spans="1:8">
      <c r="A3" s="107"/>
      <c r="B3" s="107"/>
      <c r="C3" s="107"/>
      <c r="D3" s="107"/>
      <c r="E3" s="107"/>
      <c r="F3" s="107"/>
      <c r="G3" s="107"/>
      <c r="H3" s="107"/>
    </row>
    <row r="4" spans="1:8">
      <c r="A4" s="107"/>
      <c r="B4" s="107"/>
      <c r="C4" s="107"/>
      <c r="D4" s="107"/>
      <c r="E4" s="107"/>
      <c r="F4" s="107"/>
      <c r="G4" s="107"/>
      <c r="H4" s="107"/>
    </row>
    <row r="5" spans="1:8">
      <c r="A5" s="107"/>
      <c r="B5" s="107"/>
      <c r="C5" s="107"/>
      <c r="D5" s="107"/>
      <c r="E5" s="107"/>
      <c r="F5" s="107"/>
      <c r="G5" s="107"/>
      <c r="H5" s="107"/>
    </row>
    <row r="6" ht="30" spans="1:8">
      <c r="A6" s="108" t="s">
        <v>3</v>
      </c>
      <c r="B6" s="109" t="s">
        <v>190</v>
      </c>
      <c r="C6" s="109" t="s">
        <v>191</v>
      </c>
      <c r="D6" s="109" t="s">
        <v>343</v>
      </c>
      <c r="E6" s="109"/>
      <c r="F6" s="109" t="s">
        <v>6</v>
      </c>
      <c r="G6" s="109" t="s">
        <v>7</v>
      </c>
      <c r="H6" s="109" t="s">
        <v>75</v>
      </c>
    </row>
    <row r="7" ht="21" spans="1:8">
      <c r="A7" s="19">
        <v>1</v>
      </c>
      <c r="B7" s="19" t="s">
        <v>344</v>
      </c>
      <c r="C7" s="19" t="s">
        <v>345</v>
      </c>
      <c r="D7" s="19"/>
      <c r="E7" s="19"/>
      <c r="F7" s="19">
        <v>1</v>
      </c>
      <c r="G7" s="19">
        <v>0</v>
      </c>
      <c r="H7" s="110">
        <f>F7-G7</f>
        <v>1</v>
      </c>
    </row>
    <row r="8" ht="21" spans="1:8">
      <c r="A8" s="19">
        <v>2</v>
      </c>
      <c r="B8" s="19" t="s">
        <v>344</v>
      </c>
      <c r="C8" s="19" t="s">
        <v>346</v>
      </c>
      <c r="D8" s="19"/>
      <c r="E8" s="19"/>
      <c r="F8" s="19">
        <v>1</v>
      </c>
      <c r="G8" s="19">
        <v>0</v>
      </c>
      <c r="H8" s="110">
        <f t="shared" ref="H8:H28" si="0">F8-G8</f>
        <v>1</v>
      </c>
    </row>
    <row r="9" ht="21" spans="1:8">
      <c r="A9" s="19">
        <v>3</v>
      </c>
      <c r="B9" s="19" t="s">
        <v>344</v>
      </c>
      <c r="C9" s="19" t="s">
        <v>347</v>
      </c>
      <c r="D9" s="19" t="s">
        <v>348</v>
      </c>
      <c r="E9" s="19"/>
      <c r="F9" s="19">
        <v>2</v>
      </c>
      <c r="G9" s="19">
        <v>0</v>
      </c>
      <c r="H9" s="110">
        <f t="shared" si="0"/>
        <v>2</v>
      </c>
    </row>
    <row r="10" ht="21" spans="1:8">
      <c r="A10" s="19">
        <v>4</v>
      </c>
      <c r="B10" s="19" t="s">
        <v>344</v>
      </c>
      <c r="C10" s="19" t="s">
        <v>349</v>
      </c>
      <c r="D10" s="19" t="s">
        <v>348</v>
      </c>
      <c r="E10" s="19"/>
      <c r="F10" s="19">
        <v>1</v>
      </c>
      <c r="G10" s="19">
        <v>0</v>
      </c>
      <c r="H10" s="110">
        <f t="shared" si="0"/>
        <v>1</v>
      </c>
    </row>
    <row r="11" ht="21" spans="1:8">
      <c r="A11" s="19">
        <v>5</v>
      </c>
      <c r="B11" s="19" t="s">
        <v>344</v>
      </c>
      <c r="C11" s="19" t="s">
        <v>350</v>
      </c>
      <c r="D11" s="19" t="s">
        <v>348</v>
      </c>
      <c r="E11" s="19"/>
      <c r="F11" s="19">
        <v>1</v>
      </c>
      <c r="G11" s="19">
        <v>0</v>
      </c>
      <c r="H11" s="110">
        <f t="shared" si="0"/>
        <v>1</v>
      </c>
    </row>
    <row r="12" ht="21" spans="1:8">
      <c r="A12" s="19">
        <v>6</v>
      </c>
      <c r="B12" s="19" t="s">
        <v>344</v>
      </c>
      <c r="C12" s="19" t="s">
        <v>351</v>
      </c>
      <c r="D12" s="19"/>
      <c r="E12" s="19"/>
      <c r="F12" s="19">
        <v>1</v>
      </c>
      <c r="G12" s="19">
        <v>0</v>
      </c>
      <c r="H12" s="110">
        <f t="shared" si="0"/>
        <v>1</v>
      </c>
    </row>
    <row r="13" ht="21" spans="1:8">
      <c r="A13" s="19">
        <v>7</v>
      </c>
      <c r="B13" s="19" t="s">
        <v>344</v>
      </c>
      <c r="C13" s="19" t="s">
        <v>352</v>
      </c>
      <c r="D13" s="19"/>
      <c r="E13" s="19"/>
      <c r="F13" s="19">
        <v>1</v>
      </c>
      <c r="G13" s="19">
        <v>0</v>
      </c>
      <c r="H13" s="110">
        <f t="shared" si="0"/>
        <v>1</v>
      </c>
    </row>
    <row r="14" ht="21" spans="1:8">
      <c r="A14" s="19">
        <v>8</v>
      </c>
      <c r="B14" s="19" t="s">
        <v>344</v>
      </c>
      <c r="C14" s="19" t="s">
        <v>353</v>
      </c>
      <c r="D14" s="19" t="s">
        <v>354</v>
      </c>
      <c r="E14" s="19"/>
      <c r="F14" s="19">
        <v>1</v>
      </c>
      <c r="G14" s="19">
        <v>0</v>
      </c>
      <c r="H14" s="110">
        <f t="shared" si="0"/>
        <v>1</v>
      </c>
    </row>
    <row r="15" ht="21" spans="1:8">
      <c r="A15" s="19">
        <v>9</v>
      </c>
      <c r="B15" s="19" t="s">
        <v>344</v>
      </c>
      <c r="C15" s="19" t="s">
        <v>355</v>
      </c>
      <c r="D15" s="19" t="s">
        <v>82</v>
      </c>
      <c r="E15" s="19"/>
      <c r="F15" s="19">
        <v>2</v>
      </c>
      <c r="G15" s="19">
        <v>0</v>
      </c>
      <c r="H15" s="110">
        <f t="shared" si="0"/>
        <v>2</v>
      </c>
    </row>
    <row r="16" ht="21" spans="1:8">
      <c r="A16" s="19">
        <v>10</v>
      </c>
      <c r="B16" s="19" t="s">
        <v>344</v>
      </c>
      <c r="C16" s="19" t="s">
        <v>356</v>
      </c>
      <c r="D16" s="19" t="s">
        <v>357</v>
      </c>
      <c r="E16" s="19"/>
      <c r="F16" s="19">
        <v>1</v>
      </c>
      <c r="G16" s="19">
        <v>0</v>
      </c>
      <c r="H16" s="110">
        <f t="shared" si="0"/>
        <v>1</v>
      </c>
    </row>
    <row r="17" ht="21" spans="1:8">
      <c r="A17" s="19">
        <v>11</v>
      </c>
      <c r="B17" s="19" t="s">
        <v>344</v>
      </c>
      <c r="C17" s="19" t="s">
        <v>358</v>
      </c>
      <c r="D17" s="19"/>
      <c r="E17" s="19"/>
      <c r="F17" s="19">
        <v>2</v>
      </c>
      <c r="G17" s="19">
        <v>0</v>
      </c>
      <c r="H17" s="110">
        <f t="shared" si="0"/>
        <v>2</v>
      </c>
    </row>
    <row r="18" ht="21" spans="1:8">
      <c r="A18" s="19">
        <v>12</v>
      </c>
      <c r="B18" s="19" t="s">
        <v>344</v>
      </c>
      <c r="C18" s="19" t="s">
        <v>359</v>
      </c>
      <c r="D18" s="19" t="s">
        <v>348</v>
      </c>
      <c r="E18" s="19"/>
      <c r="F18" s="19">
        <v>2</v>
      </c>
      <c r="G18" s="19">
        <v>0</v>
      </c>
      <c r="H18" s="110">
        <f t="shared" si="0"/>
        <v>2</v>
      </c>
    </row>
    <row r="19" ht="21" spans="1:8">
      <c r="A19" s="19">
        <v>13</v>
      </c>
      <c r="B19" s="19" t="s">
        <v>344</v>
      </c>
      <c r="C19" s="19" t="s">
        <v>360</v>
      </c>
      <c r="D19" s="19"/>
      <c r="E19" s="19"/>
      <c r="F19" s="19">
        <v>2</v>
      </c>
      <c r="G19" s="19">
        <v>0</v>
      </c>
      <c r="H19" s="110">
        <f t="shared" si="0"/>
        <v>2</v>
      </c>
    </row>
    <row r="20" ht="21" spans="1:8">
      <c r="A20" s="19">
        <v>14</v>
      </c>
      <c r="B20" s="19" t="s">
        <v>344</v>
      </c>
      <c r="C20" s="19" t="s">
        <v>361</v>
      </c>
      <c r="D20" s="19"/>
      <c r="E20" s="19"/>
      <c r="F20" s="19">
        <v>3</v>
      </c>
      <c r="G20" s="19">
        <v>0</v>
      </c>
      <c r="H20" s="110">
        <f t="shared" si="0"/>
        <v>3</v>
      </c>
    </row>
    <row r="21" ht="21" spans="1:8">
      <c r="A21" s="19">
        <v>15</v>
      </c>
      <c r="B21" s="19" t="s">
        <v>344</v>
      </c>
      <c r="C21" s="19" t="s">
        <v>362</v>
      </c>
      <c r="D21" s="19"/>
      <c r="E21" s="19"/>
      <c r="F21" s="19">
        <v>2</v>
      </c>
      <c r="G21" s="19">
        <v>0</v>
      </c>
      <c r="H21" s="110">
        <f t="shared" si="0"/>
        <v>2</v>
      </c>
    </row>
    <row r="22" ht="21" spans="1:8">
      <c r="A22" s="19">
        <v>16</v>
      </c>
      <c r="B22" s="19" t="s">
        <v>344</v>
      </c>
      <c r="C22" s="19" t="s">
        <v>363</v>
      </c>
      <c r="D22" s="19"/>
      <c r="E22" s="19"/>
      <c r="F22" s="19">
        <v>3</v>
      </c>
      <c r="G22" s="19">
        <v>0</v>
      </c>
      <c r="H22" s="110">
        <f t="shared" si="0"/>
        <v>3</v>
      </c>
    </row>
    <row r="23" ht="21" spans="1:8">
      <c r="A23" s="19">
        <v>17</v>
      </c>
      <c r="B23" s="19" t="s">
        <v>344</v>
      </c>
      <c r="C23" s="19" t="s">
        <v>364</v>
      </c>
      <c r="D23" s="19"/>
      <c r="E23" s="19"/>
      <c r="F23" s="19">
        <v>1</v>
      </c>
      <c r="G23" s="19">
        <v>0</v>
      </c>
      <c r="H23" s="110">
        <f t="shared" si="0"/>
        <v>1</v>
      </c>
    </row>
    <row r="24" ht="21" spans="1:8">
      <c r="A24" s="19">
        <v>18</v>
      </c>
      <c r="B24" s="19" t="s">
        <v>344</v>
      </c>
      <c r="C24" s="19" t="s">
        <v>365</v>
      </c>
      <c r="D24" s="19"/>
      <c r="E24" s="19"/>
      <c r="F24" s="19">
        <v>229</v>
      </c>
      <c r="G24" s="19">
        <v>6</v>
      </c>
      <c r="H24" s="110">
        <f t="shared" si="0"/>
        <v>223</v>
      </c>
    </row>
    <row r="25" ht="21" spans="1:8">
      <c r="A25" s="19">
        <v>19</v>
      </c>
      <c r="B25" s="19" t="s">
        <v>344</v>
      </c>
      <c r="C25" s="19" t="s">
        <v>366</v>
      </c>
      <c r="D25" s="19"/>
      <c r="E25" s="19"/>
      <c r="F25" s="19">
        <v>3</v>
      </c>
      <c r="G25" s="19">
        <v>0</v>
      </c>
      <c r="H25" s="110">
        <f t="shared" si="0"/>
        <v>3</v>
      </c>
    </row>
    <row r="26" ht="21" spans="1:8">
      <c r="A26" s="19">
        <v>20</v>
      </c>
      <c r="B26" s="19" t="s">
        <v>344</v>
      </c>
      <c r="C26" s="16" t="s">
        <v>367</v>
      </c>
      <c r="D26" s="16"/>
      <c r="E26" s="16"/>
      <c r="F26" s="16">
        <v>41</v>
      </c>
      <c r="G26" s="16">
        <v>7</v>
      </c>
      <c r="H26" s="110">
        <f t="shared" si="0"/>
        <v>34</v>
      </c>
    </row>
    <row r="27" ht="21" spans="1:8">
      <c r="A27" s="19">
        <v>21</v>
      </c>
      <c r="B27" s="19" t="s">
        <v>344</v>
      </c>
      <c r="C27" s="19" t="s">
        <v>368</v>
      </c>
      <c r="D27" s="19"/>
      <c r="E27" s="19"/>
      <c r="F27" s="19">
        <v>2</v>
      </c>
      <c r="G27" s="19">
        <v>0</v>
      </c>
      <c r="H27" s="110">
        <f t="shared" si="0"/>
        <v>2</v>
      </c>
    </row>
    <row r="28" ht="21" spans="1:8">
      <c r="A28" s="19">
        <v>22</v>
      </c>
      <c r="B28" s="19" t="s">
        <v>344</v>
      </c>
      <c r="C28" s="19" t="s">
        <v>369</v>
      </c>
      <c r="D28" s="19"/>
      <c r="E28" s="19"/>
      <c r="F28" s="19">
        <v>2</v>
      </c>
      <c r="G28" s="19">
        <v>0</v>
      </c>
      <c r="H28" s="110">
        <f t="shared" si="0"/>
        <v>2</v>
      </c>
    </row>
    <row r="29" ht="42" spans="1:8">
      <c r="A29" s="19">
        <v>23</v>
      </c>
      <c r="B29" s="19" t="s">
        <v>344</v>
      </c>
      <c r="C29" s="111" t="s">
        <v>370</v>
      </c>
      <c r="D29" s="112"/>
      <c r="E29" s="112"/>
      <c r="F29" s="112"/>
      <c r="G29" s="112"/>
      <c r="H29" s="110"/>
    </row>
    <row r="30" ht="21" spans="1:8">
      <c r="A30" s="19">
        <v>24</v>
      </c>
      <c r="B30" s="19" t="s">
        <v>344</v>
      </c>
      <c r="C30" s="19" t="s">
        <v>371</v>
      </c>
      <c r="D30" s="19"/>
      <c r="E30" s="19"/>
      <c r="F30" s="19">
        <v>1</v>
      </c>
      <c r="G30" s="19">
        <v>0</v>
      </c>
      <c r="H30" s="110">
        <f t="shared" ref="H30:H41" si="1">F30-G30</f>
        <v>1</v>
      </c>
    </row>
    <row r="31" ht="21" spans="1:8">
      <c r="A31" s="19">
        <v>25</v>
      </c>
      <c r="B31" s="19" t="s">
        <v>344</v>
      </c>
      <c r="C31" s="19" t="s">
        <v>372</v>
      </c>
      <c r="D31" s="19"/>
      <c r="E31" s="19"/>
      <c r="F31" s="19">
        <v>1</v>
      </c>
      <c r="G31" s="19">
        <v>0</v>
      </c>
      <c r="H31" s="110">
        <f t="shared" si="1"/>
        <v>1</v>
      </c>
    </row>
    <row r="32" ht="21" spans="1:8">
      <c r="A32" s="19">
        <v>26</v>
      </c>
      <c r="B32" s="19" t="s">
        <v>344</v>
      </c>
      <c r="C32" s="19" t="s">
        <v>373</v>
      </c>
      <c r="D32" s="19"/>
      <c r="E32" s="19"/>
      <c r="F32" s="19">
        <v>1</v>
      </c>
      <c r="G32" s="19">
        <v>0</v>
      </c>
      <c r="H32" s="110">
        <f t="shared" si="1"/>
        <v>1</v>
      </c>
    </row>
    <row r="33" ht="21" spans="1:8">
      <c r="A33" s="19">
        <v>27</v>
      </c>
      <c r="B33" s="19" t="s">
        <v>344</v>
      </c>
      <c r="C33" s="19" t="s">
        <v>374</v>
      </c>
      <c r="D33" s="19"/>
      <c r="E33" s="19"/>
      <c r="F33" s="19">
        <v>1</v>
      </c>
      <c r="G33" s="19">
        <v>0</v>
      </c>
      <c r="H33" s="110">
        <f t="shared" si="1"/>
        <v>1</v>
      </c>
    </row>
    <row r="34" ht="21" spans="1:8">
      <c r="A34" s="19">
        <v>28</v>
      </c>
      <c r="B34" s="19" t="s">
        <v>344</v>
      </c>
      <c r="C34" s="19" t="s">
        <v>375</v>
      </c>
      <c r="D34" s="19"/>
      <c r="E34" s="19"/>
      <c r="F34" s="19">
        <v>1</v>
      </c>
      <c r="G34" s="19">
        <v>0</v>
      </c>
      <c r="H34" s="110">
        <f t="shared" si="1"/>
        <v>1</v>
      </c>
    </row>
    <row r="35" ht="21" spans="1:8">
      <c r="A35" s="19">
        <v>29</v>
      </c>
      <c r="B35" s="19" t="s">
        <v>344</v>
      </c>
      <c r="C35" s="19" t="s">
        <v>376</v>
      </c>
      <c r="D35" s="19"/>
      <c r="E35" s="19"/>
      <c r="F35" s="19">
        <v>2</v>
      </c>
      <c r="G35" s="19">
        <v>0</v>
      </c>
      <c r="H35" s="110">
        <f t="shared" si="1"/>
        <v>2</v>
      </c>
    </row>
    <row r="36" ht="21" spans="1:8">
      <c r="A36" s="19">
        <v>30</v>
      </c>
      <c r="B36" s="19" t="s">
        <v>344</v>
      </c>
      <c r="C36" s="19"/>
      <c r="D36" s="19"/>
      <c r="E36" s="19"/>
      <c r="F36" s="19"/>
      <c r="G36" s="19">
        <v>0</v>
      </c>
      <c r="H36" s="110">
        <f t="shared" si="1"/>
        <v>0</v>
      </c>
    </row>
    <row r="37" ht="21" spans="1:8">
      <c r="A37" s="19">
        <v>31</v>
      </c>
      <c r="B37" s="19" t="s">
        <v>344</v>
      </c>
      <c r="C37" s="19"/>
      <c r="D37" s="19"/>
      <c r="E37" s="19"/>
      <c r="F37" s="19"/>
      <c r="G37" s="19">
        <v>0</v>
      </c>
      <c r="H37" s="110">
        <f t="shared" si="1"/>
        <v>0</v>
      </c>
    </row>
    <row r="38" ht="21" spans="1:8">
      <c r="A38" s="19">
        <v>32</v>
      </c>
      <c r="B38" s="19" t="s">
        <v>344</v>
      </c>
      <c r="C38" s="19"/>
      <c r="D38" s="19"/>
      <c r="E38" s="19"/>
      <c r="F38" s="19"/>
      <c r="G38" s="19">
        <v>0</v>
      </c>
      <c r="H38" s="110">
        <f t="shared" si="1"/>
        <v>0</v>
      </c>
    </row>
    <row r="39" ht="21" spans="1:8">
      <c r="A39" s="19">
        <v>33</v>
      </c>
      <c r="B39" s="19" t="s">
        <v>344</v>
      </c>
      <c r="C39" s="19"/>
      <c r="D39" s="19"/>
      <c r="E39" s="19"/>
      <c r="F39" s="19"/>
      <c r="G39" s="19">
        <v>0</v>
      </c>
      <c r="H39" s="110">
        <f t="shared" si="1"/>
        <v>0</v>
      </c>
    </row>
    <row r="40" ht="21" spans="1:8">
      <c r="A40" s="19">
        <v>34</v>
      </c>
      <c r="B40" s="19" t="s">
        <v>344</v>
      </c>
      <c r="C40" s="19"/>
      <c r="D40" s="19"/>
      <c r="E40" s="19"/>
      <c r="F40" s="19"/>
      <c r="G40" s="19">
        <v>0</v>
      </c>
      <c r="H40" s="110">
        <f t="shared" si="1"/>
        <v>0</v>
      </c>
    </row>
    <row r="41" ht="21" spans="1:8">
      <c r="A41" s="19">
        <v>35</v>
      </c>
      <c r="B41" s="19" t="s">
        <v>344</v>
      </c>
      <c r="C41" s="19"/>
      <c r="D41" s="19"/>
      <c r="E41" s="19"/>
      <c r="F41" s="19"/>
      <c r="G41" s="19">
        <v>0</v>
      </c>
      <c r="H41" s="110">
        <f t="shared" si="1"/>
        <v>0</v>
      </c>
    </row>
    <row r="42" ht="21" spans="1:8">
      <c r="A42" s="113">
        <v>36</v>
      </c>
      <c r="B42" s="113" t="s">
        <v>344</v>
      </c>
      <c r="C42" s="113"/>
      <c r="D42" s="113"/>
      <c r="E42" s="113"/>
      <c r="F42" s="113"/>
      <c r="G42" s="113"/>
      <c r="H42" s="114"/>
    </row>
    <row r="43" spans="1:8">
      <c r="A43" s="115" t="s">
        <v>377</v>
      </c>
      <c r="B43" s="115"/>
      <c r="C43" s="115"/>
      <c r="D43" s="115"/>
      <c r="E43" s="115"/>
      <c r="F43" s="115"/>
      <c r="G43" s="115"/>
      <c r="H43" s="115"/>
    </row>
    <row r="44" spans="1:8">
      <c r="A44" s="115"/>
      <c r="B44" s="115"/>
      <c r="C44" s="115"/>
      <c r="D44" s="115"/>
      <c r="E44" s="115"/>
      <c r="F44" s="115"/>
      <c r="G44" s="115"/>
      <c r="H44" s="115"/>
    </row>
    <row r="45" spans="1:8">
      <c r="A45" s="115"/>
      <c r="B45" s="115"/>
      <c r="C45" s="115"/>
      <c r="D45" s="115"/>
      <c r="E45" s="115"/>
      <c r="F45" s="115"/>
      <c r="G45" s="115"/>
      <c r="H45" s="115"/>
    </row>
    <row r="46" ht="63" spans="1:8">
      <c r="A46" s="116" t="s">
        <v>3</v>
      </c>
      <c r="B46" s="110" t="s">
        <v>190</v>
      </c>
      <c r="C46" s="110" t="s">
        <v>191</v>
      </c>
      <c r="D46" s="110" t="s">
        <v>343</v>
      </c>
      <c r="E46" s="117"/>
      <c r="F46" s="117" t="s">
        <v>6</v>
      </c>
      <c r="G46" s="117" t="s">
        <v>7</v>
      </c>
      <c r="H46" s="117" t="s">
        <v>75</v>
      </c>
    </row>
    <row r="47" ht="21" spans="1:8">
      <c r="A47" s="118">
        <v>1</v>
      </c>
      <c r="B47" s="119" t="s">
        <v>344</v>
      </c>
      <c r="C47" s="118" t="s">
        <v>367</v>
      </c>
      <c r="D47" s="118"/>
      <c r="E47" s="118"/>
      <c r="F47" s="118">
        <v>26</v>
      </c>
      <c r="G47" s="118">
        <v>0</v>
      </c>
      <c r="H47" s="120">
        <f t="shared" ref="H47:H53" si="2">F47-G47</f>
        <v>26</v>
      </c>
    </row>
    <row r="48" ht="21" spans="1:8">
      <c r="A48" s="118">
        <v>2</v>
      </c>
      <c r="B48" s="119" t="s">
        <v>344</v>
      </c>
      <c r="C48" s="118" t="s">
        <v>365</v>
      </c>
      <c r="D48" s="118"/>
      <c r="E48" s="118"/>
      <c r="F48" s="118">
        <v>336</v>
      </c>
      <c r="G48" s="118"/>
      <c r="H48" s="120">
        <f t="shared" si="2"/>
        <v>336</v>
      </c>
    </row>
    <row r="49" ht="21" spans="1:8">
      <c r="A49" s="118">
        <v>3</v>
      </c>
      <c r="B49" s="119" t="s">
        <v>344</v>
      </c>
      <c r="C49" s="118" t="s">
        <v>378</v>
      </c>
      <c r="D49" s="118"/>
      <c r="E49" s="118"/>
      <c r="F49" s="118">
        <v>1</v>
      </c>
      <c r="G49" s="118"/>
      <c r="H49" s="120">
        <f t="shared" si="2"/>
        <v>1</v>
      </c>
    </row>
    <row r="50" ht="21" spans="1:8">
      <c r="A50" s="118">
        <v>4</v>
      </c>
      <c r="B50" s="119" t="s">
        <v>344</v>
      </c>
      <c r="C50" s="118" t="s">
        <v>379</v>
      </c>
      <c r="D50" s="118"/>
      <c r="E50" s="118"/>
      <c r="F50" s="118">
        <v>4</v>
      </c>
      <c r="G50" s="118"/>
      <c r="H50" s="120">
        <f t="shared" si="2"/>
        <v>4</v>
      </c>
    </row>
    <row r="51" ht="21" spans="1:8">
      <c r="A51" s="118">
        <v>5</v>
      </c>
      <c r="B51" s="119" t="s">
        <v>344</v>
      </c>
      <c r="C51" s="118" t="s">
        <v>368</v>
      </c>
      <c r="D51" s="118"/>
      <c r="E51" s="118"/>
      <c r="F51" s="118">
        <v>4</v>
      </c>
      <c r="G51" s="118"/>
      <c r="H51" s="120">
        <f t="shared" si="2"/>
        <v>4</v>
      </c>
    </row>
    <row r="52" ht="21" spans="1:8">
      <c r="A52" s="118">
        <v>6</v>
      </c>
      <c r="B52" s="119" t="s">
        <v>344</v>
      </c>
      <c r="C52" s="118" t="s">
        <v>380</v>
      </c>
      <c r="D52" s="118"/>
      <c r="E52" s="118"/>
      <c r="F52" s="118">
        <v>1</v>
      </c>
      <c r="G52" s="118"/>
      <c r="H52" s="120">
        <f t="shared" si="2"/>
        <v>1</v>
      </c>
    </row>
    <row r="53" ht="21" spans="1:8">
      <c r="A53" s="118">
        <v>7</v>
      </c>
      <c r="B53" s="119" t="s">
        <v>344</v>
      </c>
      <c r="C53" s="118" t="s">
        <v>381</v>
      </c>
      <c r="D53" s="118"/>
      <c r="E53" s="118"/>
      <c r="F53" s="118">
        <v>1</v>
      </c>
      <c r="G53" s="118"/>
      <c r="H53" s="120">
        <f t="shared" si="2"/>
        <v>1</v>
      </c>
    </row>
    <row r="54" ht="21" spans="1:13">
      <c r="A54" s="118">
        <v>8</v>
      </c>
      <c r="B54" s="119" t="s">
        <v>344</v>
      </c>
      <c r="C54" s="118" t="s">
        <v>382</v>
      </c>
      <c r="D54" s="118" t="s">
        <v>383</v>
      </c>
      <c r="E54" s="118"/>
      <c r="F54" s="118">
        <v>1</v>
      </c>
      <c r="G54" s="118"/>
      <c r="H54" s="121">
        <v>1</v>
      </c>
      <c r="M54" t="s">
        <v>384</v>
      </c>
    </row>
    <row r="55" ht="21" spans="1:8">
      <c r="A55" s="118"/>
      <c r="B55" s="119" t="s">
        <v>344</v>
      </c>
      <c r="C55" s="118" t="s">
        <v>385</v>
      </c>
      <c r="D55" s="118"/>
      <c r="E55" s="118"/>
      <c r="F55" s="118">
        <v>2</v>
      </c>
      <c r="G55" s="118">
        <v>0</v>
      </c>
      <c r="H55" s="121">
        <v>2</v>
      </c>
    </row>
    <row r="56" ht="21" spans="1:8">
      <c r="A56" s="118">
        <v>9</v>
      </c>
      <c r="B56" s="119" t="s">
        <v>344</v>
      </c>
      <c r="C56" s="118" t="s">
        <v>386</v>
      </c>
      <c r="D56" s="118"/>
      <c r="E56" s="118"/>
      <c r="F56" s="118">
        <v>11</v>
      </c>
      <c r="G56" s="118"/>
      <c r="H56" s="122">
        <v>11</v>
      </c>
    </row>
    <row r="57" ht="42" spans="1:8">
      <c r="A57" s="118">
        <v>10</v>
      </c>
      <c r="B57" s="119" t="s">
        <v>344</v>
      </c>
      <c r="C57" s="123" t="s">
        <v>387</v>
      </c>
      <c r="D57" s="38"/>
      <c r="E57" s="38"/>
      <c r="F57" s="38"/>
      <c r="G57" s="38"/>
      <c r="H57" s="122"/>
    </row>
    <row r="58" ht="21" spans="1:8">
      <c r="A58" s="118">
        <v>11</v>
      </c>
      <c r="B58" s="119" t="s">
        <v>344</v>
      </c>
      <c r="C58" s="118" t="s">
        <v>371</v>
      </c>
      <c r="D58" s="38"/>
      <c r="E58" s="38"/>
      <c r="F58" s="38">
        <v>2</v>
      </c>
      <c r="G58" s="38"/>
      <c r="H58" s="120">
        <v>2</v>
      </c>
    </row>
    <row r="59" ht="21" spans="1:8">
      <c r="A59" s="118">
        <v>12</v>
      </c>
      <c r="B59" s="119" t="s">
        <v>344</v>
      </c>
      <c r="C59" s="118" t="s">
        <v>388</v>
      </c>
      <c r="D59" s="38"/>
      <c r="E59" s="38"/>
      <c r="F59" s="38">
        <v>1</v>
      </c>
      <c r="G59" s="38"/>
      <c r="H59" s="120">
        <f t="shared" ref="H58:H73" si="3">F57-G57</f>
        <v>0</v>
      </c>
    </row>
    <row r="60" ht="21" spans="1:8">
      <c r="A60" s="118">
        <v>13</v>
      </c>
      <c r="B60" s="19" t="s">
        <v>344</v>
      </c>
      <c r="C60" s="118" t="s">
        <v>374</v>
      </c>
      <c r="D60" s="38"/>
      <c r="E60" s="38"/>
      <c r="F60" s="38">
        <v>1</v>
      </c>
      <c r="G60" s="38"/>
      <c r="H60" s="120">
        <f t="shared" si="3"/>
        <v>2</v>
      </c>
    </row>
    <row r="61" ht="21" spans="1:8">
      <c r="A61" s="118">
        <v>14</v>
      </c>
      <c r="B61" s="19" t="s">
        <v>344</v>
      </c>
      <c r="C61" s="118" t="s">
        <v>389</v>
      </c>
      <c r="D61" s="38"/>
      <c r="E61" s="38"/>
      <c r="F61" s="38">
        <v>1</v>
      </c>
      <c r="G61" s="38"/>
      <c r="H61" s="120">
        <f t="shared" si="3"/>
        <v>1</v>
      </c>
    </row>
    <row r="62" ht="21" spans="1:8">
      <c r="A62" s="118">
        <v>15</v>
      </c>
      <c r="B62" s="19" t="s">
        <v>344</v>
      </c>
      <c r="C62" s="118" t="s">
        <v>375</v>
      </c>
      <c r="D62" s="38"/>
      <c r="E62" s="38"/>
      <c r="F62" s="38">
        <v>1</v>
      </c>
      <c r="G62" s="38"/>
      <c r="H62" s="120">
        <f t="shared" si="3"/>
        <v>1</v>
      </c>
    </row>
    <row r="63" ht="21" spans="1:8">
      <c r="A63" s="118">
        <v>16</v>
      </c>
      <c r="B63" s="19" t="s">
        <v>344</v>
      </c>
      <c r="C63" s="118" t="s">
        <v>390</v>
      </c>
      <c r="D63" s="38"/>
      <c r="E63" s="38"/>
      <c r="F63" s="38">
        <v>1</v>
      </c>
      <c r="G63" s="38"/>
      <c r="H63" s="120">
        <f t="shared" si="3"/>
        <v>1</v>
      </c>
    </row>
    <row r="64" ht="21" spans="1:8">
      <c r="A64" s="118">
        <v>17</v>
      </c>
      <c r="B64" s="19" t="s">
        <v>344</v>
      </c>
      <c r="C64" s="118"/>
      <c r="D64" s="38"/>
      <c r="E64" s="38"/>
      <c r="F64" s="38"/>
      <c r="G64" s="38"/>
      <c r="H64" s="120">
        <f t="shared" si="3"/>
        <v>1</v>
      </c>
    </row>
    <row r="65" ht="21" spans="1:8">
      <c r="A65" s="118">
        <v>18</v>
      </c>
      <c r="B65" s="19" t="s">
        <v>344</v>
      </c>
      <c r="C65" s="118"/>
      <c r="D65" s="38"/>
      <c r="E65" s="38"/>
      <c r="F65" s="38"/>
      <c r="G65" s="38"/>
      <c r="H65" s="120">
        <f t="shared" si="3"/>
        <v>1</v>
      </c>
    </row>
    <row r="66" ht="21" spans="1:8">
      <c r="A66" s="118">
        <v>19</v>
      </c>
      <c r="B66" s="19" t="s">
        <v>344</v>
      </c>
      <c r="C66" s="38"/>
      <c r="D66" s="38"/>
      <c r="E66" s="38"/>
      <c r="F66" s="38"/>
      <c r="G66" s="38"/>
      <c r="H66" s="120">
        <f t="shared" si="3"/>
        <v>0</v>
      </c>
    </row>
    <row r="67" ht="21" spans="1:8">
      <c r="A67" s="118">
        <v>20</v>
      </c>
      <c r="B67" s="19" t="s">
        <v>344</v>
      </c>
      <c r="C67" s="38"/>
      <c r="D67" s="38"/>
      <c r="E67" s="38"/>
      <c r="F67" s="38"/>
      <c r="G67" s="38"/>
      <c r="H67" s="120">
        <f t="shared" si="3"/>
        <v>0</v>
      </c>
    </row>
    <row r="68" ht="21" spans="1:8">
      <c r="A68" s="118">
        <v>21</v>
      </c>
      <c r="B68" s="19" t="s">
        <v>344</v>
      </c>
      <c r="C68" s="38"/>
      <c r="D68" s="38"/>
      <c r="E68" s="38"/>
      <c r="F68" s="38"/>
      <c r="G68" s="38"/>
      <c r="H68" s="120">
        <f t="shared" si="3"/>
        <v>0</v>
      </c>
    </row>
    <row r="69" ht="21" spans="1:8">
      <c r="A69" s="118">
        <v>22</v>
      </c>
      <c r="B69" s="19" t="s">
        <v>344</v>
      </c>
      <c r="C69" s="38"/>
      <c r="D69" s="38"/>
      <c r="E69" s="38"/>
      <c r="F69" s="38"/>
      <c r="G69" s="38"/>
      <c r="H69" s="120">
        <f t="shared" si="3"/>
        <v>0</v>
      </c>
    </row>
    <row r="70" ht="21" spans="1:8">
      <c r="A70" s="38"/>
      <c r="B70" s="119"/>
      <c r="C70" s="38"/>
      <c r="D70" s="38"/>
      <c r="E70" s="38"/>
      <c r="F70" s="38"/>
      <c r="G70" s="38"/>
      <c r="H70" s="120">
        <f t="shared" si="3"/>
        <v>0</v>
      </c>
    </row>
    <row r="71" spans="1:8">
      <c r="A71" s="11"/>
      <c r="B71" s="124"/>
      <c r="C71" s="11"/>
      <c r="D71" s="11"/>
      <c r="E71" s="11"/>
      <c r="F71" s="11"/>
      <c r="G71" s="11"/>
      <c r="H71" s="125">
        <f t="shared" si="3"/>
        <v>0</v>
      </c>
    </row>
    <row r="72" spans="1:8">
      <c r="A72" s="11"/>
      <c r="B72" s="11"/>
      <c r="C72" s="11"/>
      <c r="D72" s="11"/>
      <c r="E72" s="11"/>
      <c r="F72" s="11"/>
      <c r="G72" s="11"/>
      <c r="H72" s="125">
        <f t="shared" si="3"/>
        <v>0</v>
      </c>
    </row>
    <row r="73" spans="8:8">
      <c r="H73" s="125">
        <f t="shared" si="3"/>
        <v>0</v>
      </c>
    </row>
    <row r="74" spans="8:8">
      <c r="H74" s="11"/>
    </row>
  </sheetData>
  <mergeCells count="2">
    <mergeCell ref="A1:H5"/>
    <mergeCell ref="A43:H4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6"/>
  <sheetViews>
    <sheetView zoomScale="120" zoomScaleNormal="120" topLeftCell="A78" workbookViewId="0">
      <selection activeCell="C99" sqref="C99"/>
    </sheetView>
  </sheetViews>
  <sheetFormatPr defaultColWidth="9.14285714285714" defaultRowHeight="15"/>
  <cols>
    <col min="1" max="1" width="5.28571428571429" customWidth="1"/>
    <col min="2" max="2" width="15" customWidth="1"/>
    <col min="3" max="3" width="64" customWidth="1"/>
    <col min="4" max="4" width="31.1428571428571" customWidth="1"/>
    <col min="5" max="5" width="11.5714285714286" customWidth="1"/>
    <col min="7" max="7" width="14.8571428571429" customWidth="1"/>
  </cols>
  <sheetData>
    <row r="1" spans="1:7">
      <c r="A1" s="90" t="s">
        <v>391</v>
      </c>
      <c r="B1" s="91"/>
      <c r="C1" s="91"/>
      <c r="D1" s="91"/>
      <c r="E1" s="91"/>
      <c r="F1" s="91"/>
      <c r="G1" s="91"/>
    </row>
    <row r="2" spans="1:7">
      <c r="A2" s="91"/>
      <c r="B2" s="91"/>
      <c r="C2" s="91"/>
      <c r="D2" s="91"/>
      <c r="E2" s="91"/>
      <c r="F2" s="91"/>
      <c r="G2" s="91"/>
    </row>
    <row r="3" spans="1:7">
      <c r="A3" s="91"/>
      <c r="B3" s="91"/>
      <c r="C3" s="91"/>
      <c r="D3" s="91"/>
      <c r="E3" s="91"/>
      <c r="F3" s="91"/>
      <c r="G3" s="91"/>
    </row>
    <row r="4" ht="33" customHeight="1" spans="1:7">
      <c r="A4" s="91"/>
      <c r="B4" s="91"/>
      <c r="C4" s="91"/>
      <c r="D4" s="91"/>
      <c r="E4" s="91"/>
      <c r="F4" s="91"/>
      <c r="G4" s="91"/>
    </row>
    <row r="5" ht="45" customHeight="1" spans="1:7">
      <c r="A5" s="92" t="s">
        <v>70</v>
      </c>
      <c r="B5" s="93"/>
      <c r="C5" s="93" t="s">
        <v>392</v>
      </c>
      <c r="D5" s="93" t="s">
        <v>393</v>
      </c>
      <c r="E5" s="93" t="s">
        <v>394</v>
      </c>
      <c r="F5" s="93" t="s">
        <v>74</v>
      </c>
      <c r="G5" s="93" t="s">
        <v>395</v>
      </c>
    </row>
    <row r="6" ht="21" spans="1:7">
      <c r="A6" s="11">
        <v>1</v>
      </c>
      <c r="B6" s="11" t="s">
        <v>396</v>
      </c>
      <c r="C6" s="94" t="s">
        <v>397</v>
      </c>
      <c r="D6" s="38"/>
      <c r="E6" s="5">
        <v>26</v>
      </c>
      <c r="F6" s="5">
        <v>2</v>
      </c>
      <c r="G6" s="5">
        <f>E6-F6</f>
        <v>24</v>
      </c>
    </row>
    <row r="7" ht="21" spans="1:7">
      <c r="A7" s="11">
        <v>2</v>
      </c>
      <c r="B7" s="11" t="s">
        <v>396</v>
      </c>
      <c r="C7" s="95" t="s">
        <v>398</v>
      </c>
      <c r="D7" s="38"/>
      <c r="E7" s="5">
        <v>3</v>
      </c>
      <c r="F7" s="5">
        <v>0</v>
      </c>
      <c r="G7" s="5">
        <f t="shared" ref="G7:G45" si="0">E7-F7</f>
        <v>3</v>
      </c>
    </row>
    <row r="8" ht="21" spans="1:7">
      <c r="A8" s="11">
        <v>3</v>
      </c>
      <c r="B8" s="11" t="s">
        <v>396</v>
      </c>
      <c r="C8" s="96" t="s">
        <v>399</v>
      </c>
      <c r="D8" s="38"/>
      <c r="E8" s="5"/>
      <c r="F8" s="5">
        <v>0</v>
      </c>
      <c r="G8" s="5">
        <f t="shared" si="0"/>
        <v>0</v>
      </c>
    </row>
    <row r="9" ht="21" spans="1:7">
      <c r="A9" s="11">
        <v>4</v>
      </c>
      <c r="B9" s="11" t="s">
        <v>396</v>
      </c>
      <c r="C9" s="31" t="s">
        <v>400</v>
      </c>
      <c r="D9" s="38"/>
      <c r="E9" s="5">
        <v>3</v>
      </c>
      <c r="F9" s="5">
        <v>0</v>
      </c>
      <c r="G9" s="5">
        <f t="shared" si="0"/>
        <v>3</v>
      </c>
    </row>
    <row r="10" ht="21" spans="1:7">
      <c r="A10" s="11">
        <v>5</v>
      </c>
      <c r="B10" s="11" t="s">
        <v>396</v>
      </c>
      <c r="C10" s="31" t="s">
        <v>401</v>
      </c>
      <c r="D10" s="38"/>
      <c r="E10" s="5">
        <v>1</v>
      </c>
      <c r="F10" s="5">
        <v>0</v>
      </c>
      <c r="G10" s="5">
        <f t="shared" si="0"/>
        <v>1</v>
      </c>
    </row>
    <row r="11" ht="21" spans="1:7">
      <c r="A11" s="11">
        <v>6</v>
      </c>
      <c r="B11" s="11" t="s">
        <v>396</v>
      </c>
      <c r="C11" s="31" t="s">
        <v>402</v>
      </c>
      <c r="D11" s="38"/>
      <c r="E11" s="5">
        <v>2</v>
      </c>
      <c r="F11" s="5">
        <v>0</v>
      </c>
      <c r="G11" s="5">
        <f t="shared" si="0"/>
        <v>2</v>
      </c>
    </row>
    <row r="12" ht="21" spans="1:7">
      <c r="A12" s="11">
        <v>7</v>
      </c>
      <c r="B12" s="11" t="s">
        <v>396</v>
      </c>
      <c r="C12" s="31" t="s">
        <v>403</v>
      </c>
      <c r="D12" s="38"/>
      <c r="E12" s="5">
        <v>1</v>
      </c>
      <c r="F12" s="5">
        <v>0</v>
      </c>
      <c r="G12" s="5">
        <f t="shared" si="0"/>
        <v>1</v>
      </c>
    </row>
    <row r="13" ht="21" spans="1:7">
      <c r="A13" s="11">
        <v>8</v>
      </c>
      <c r="B13" s="11" t="s">
        <v>396</v>
      </c>
      <c r="C13" s="97" t="s">
        <v>404</v>
      </c>
      <c r="D13" s="38"/>
      <c r="E13" s="5"/>
      <c r="F13" s="5">
        <v>0</v>
      </c>
      <c r="G13" s="5">
        <f t="shared" si="0"/>
        <v>0</v>
      </c>
    </row>
    <row r="14" ht="21" spans="1:7">
      <c r="A14" s="11">
        <v>9</v>
      </c>
      <c r="B14" s="11" t="s">
        <v>396</v>
      </c>
      <c r="C14" s="31" t="s">
        <v>400</v>
      </c>
      <c r="D14" s="38"/>
      <c r="E14" s="5">
        <v>3</v>
      </c>
      <c r="F14" s="5">
        <v>0</v>
      </c>
      <c r="G14" s="5">
        <f t="shared" si="0"/>
        <v>3</v>
      </c>
    </row>
    <row r="15" ht="21" spans="1:7">
      <c r="A15" s="11">
        <v>10</v>
      </c>
      <c r="B15" s="11" t="s">
        <v>396</v>
      </c>
      <c r="C15" s="31" t="s">
        <v>401</v>
      </c>
      <c r="D15" s="38"/>
      <c r="E15" s="5">
        <v>1</v>
      </c>
      <c r="F15" s="5">
        <v>0</v>
      </c>
      <c r="G15" s="5">
        <f t="shared" si="0"/>
        <v>1</v>
      </c>
    </row>
    <row r="16" ht="21" spans="1:7">
      <c r="A16" s="11">
        <v>11</v>
      </c>
      <c r="B16" s="11" t="s">
        <v>396</v>
      </c>
      <c r="C16" s="31" t="s">
        <v>402</v>
      </c>
      <c r="D16" s="38"/>
      <c r="E16" s="5">
        <v>1</v>
      </c>
      <c r="F16" s="5">
        <v>0</v>
      </c>
      <c r="G16" s="5">
        <f t="shared" si="0"/>
        <v>1</v>
      </c>
    </row>
    <row r="17" ht="21" spans="1:7">
      <c r="A17" s="11">
        <v>12</v>
      </c>
      <c r="B17" s="11" t="s">
        <v>396</v>
      </c>
      <c r="C17" s="31" t="s">
        <v>405</v>
      </c>
      <c r="D17" s="38"/>
      <c r="E17" s="5"/>
      <c r="F17" s="5">
        <v>0</v>
      </c>
      <c r="G17" s="5">
        <f t="shared" si="0"/>
        <v>0</v>
      </c>
    </row>
    <row r="18" ht="21" spans="1:7">
      <c r="A18" s="11">
        <v>13</v>
      </c>
      <c r="B18" s="11" t="s">
        <v>396</v>
      </c>
      <c r="C18" s="98" t="s">
        <v>406</v>
      </c>
      <c r="D18" s="38"/>
      <c r="E18" s="5"/>
      <c r="F18" s="5">
        <v>0</v>
      </c>
      <c r="G18" s="5">
        <f t="shared" si="0"/>
        <v>0</v>
      </c>
    </row>
    <row r="19" ht="21" spans="1:7">
      <c r="A19" s="11">
        <v>14</v>
      </c>
      <c r="B19" s="11" t="s">
        <v>396</v>
      </c>
      <c r="C19" s="31" t="s">
        <v>400</v>
      </c>
      <c r="D19" s="38"/>
      <c r="E19" s="5">
        <v>3</v>
      </c>
      <c r="F19" s="5">
        <v>0</v>
      </c>
      <c r="G19" s="5">
        <f t="shared" si="0"/>
        <v>3</v>
      </c>
    </row>
    <row r="20" ht="21" spans="1:7">
      <c r="A20" s="11">
        <v>15</v>
      </c>
      <c r="B20" s="11" t="s">
        <v>396</v>
      </c>
      <c r="C20" s="31" t="s">
        <v>401</v>
      </c>
      <c r="D20" s="38"/>
      <c r="E20" s="5">
        <v>1</v>
      </c>
      <c r="F20" s="5">
        <v>0</v>
      </c>
      <c r="G20" s="5">
        <f t="shared" si="0"/>
        <v>1</v>
      </c>
    </row>
    <row r="21" ht="21" spans="1:7">
      <c r="A21" s="11">
        <v>16</v>
      </c>
      <c r="B21" s="11" t="s">
        <v>396</v>
      </c>
      <c r="C21" s="31" t="s">
        <v>402</v>
      </c>
      <c r="D21" s="38"/>
      <c r="E21" s="5">
        <v>1</v>
      </c>
      <c r="F21" s="5">
        <v>0</v>
      </c>
      <c r="G21" s="5">
        <f t="shared" si="0"/>
        <v>1</v>
      </c>
    </row>
    <row r="22" ht="21" spans="1:7">
      <c r="A22" s="11">
        <v>17</v>
      </c>
      <c r="B22" s="11" t="s">
        <v>396</v>
      </c>
      <c r="C22" s="31" t="s">
        <v>405</v>
      </c>
      <c r="D22" s="38"/>
      <c r="E22" s="5">
        <v>1</v>
      </c>
      <c r="F22" s="5">
        <v>0</v>
      </c>
      <c r="G22" s="5">
        <f t="shared" si="0"/>
        <v>1</v>
      </c>
    </row>
    <row r="23" ht="21" spans="1:7">
      <c r="A23" s="11">
        <v>18</v>
      </c>
      <c r="B23" s="11" t="s">
        <v>396</v>
      </c>
      <c r="C23" s="98" t="s">
        <v>407</v>
      </c>
      <c r="D23" s="38"/>
      <c r="E23" s="5"/>
      <c r="F23" s="5">
        <v>0</v>
      </c>
      <c r="G23" s="5">
        <f t="shared" si="0"/>
        <v>0</v>
      </c>
    </row>
    <row r="24" ht="21" spans="1:7">
      <c r="A24" s="11">
        <v>19</v>
      </c>
      <c r="B24" s="11" t="s">
        <v>396</v>
      </c>
      <c r="C24" s="31" t="s">
        <v>408</v>
      </c>
      <c r="D24" s="38" t="s">
        <v>409</v>
      </c>
      <c r="E24" s="5">
        <v>2</v>
      </c>
      <c r="F24" s="5">
        <v>0</v>
      </c>
      <c r="G24" s="5">
        <f t="shared" si="0"/>
        <v>2</v>
      </c>
    </row>
    <row r="25" ht="21" spans="1:7">
      <c r="A25" s="11">
        <v>20</v>
      </c>
      <c r="B25" s="11" t="s">
        <v>396</v>
      </c>
      <c r="C25" s="31" t="s">
        <v>410</v>
      </c>
      <c r="D25" s="38"/>
      <c r="E25" s="5">
        <v>3</v>
      </c>
      <c r="F25" s="5">
        <v>0</v>
      </c>
      <c r="G25" s="5">
        <f t="shared" si="0"/>
        <v>3</v>
      </c>
    </row>
    <row r="26" ht="21" spans="1:7">
      <c r="A26" s="11">
        <v>21</v>
      </c>
      <c r="B26" s="11" t="s">
        <v>396</v>
      </c>
      <c r="C26" s="31" t="s">
        <v>411</v>
      </c>
      <c r="D26" s="38"/>
      <c r="E26" s="5">
        <v>3</v>
      </c>
      <c r="F26" s="5">
        <v>0</v>
      </c>
      <c r="G26" s="5">
        <f t="shared" si="0"/>
        <v>3</v>
      </c>
    </row>
    <row r="27" ht="21" spans="1:7">
      <c r="A27" s="11">
        <v>22</v>
      </c>
      <c r="B27" s="11" t="s">
        <v>396</v>
      </c>
      <c r="C27" s="31" t="s">
        <v>412</v>
      </c>
      <c r="D27" s="38"/>
      <c r="E27" s="5">
        <v>2</v>
      </c>
      <c r="F27" s="5">
        <v>0</v>
      </c>
      <c r="G27" s="5">
        <f t="shared" si="0"/>
        <v>2</v>
      </c>
    </row>
    <row r="28" ht="21" spans="1:7">
      <c r="A28" s="11">
        <v>23</v>
      </c>
      <c r="B28" s="11" t="s">
        <v>396</v>
      </c>
      <c r="C28" s="31" t="s">
        <v>413</v>
      </c>
      <c r="D28" s="38"/>
      <c r="E28" s="5">
        <v>3</v>
      </c>
      <c r="F28" s="5">
        <v>0</v>
      </c>
      <c r="G28" s="5">
        <f t="shared" si="0"/>
        <v>3</v>
      </c>
    </row>
    <row r="29" ht="21" spans="1:7">
      <c r="A29" s="11">
        <v>24</v>
      </c>
      <c r="B29" s="11" t="s">
        <v>396</v>
      </c>
      <c r="C29" s="31" t="s">
        <v>414</v>
      </c>
      <c r="D29" s="38"/>
      <c r="E29" s="5">
        <v>1</v>
      </c>
      <c r="F29" s="5">
        <v>0</v>
      </c>
      <c r="G29" s="5">
        <f t="shared" si="0"/>
        <v>1</v>
      </c>
    </row>
    <row r="30" ht="21" spans="1:7">
      <c r="A30" s="11">
        <v>25</v>
      </c>
      <c r="B30" s="11" t="s">
        <v>396</v>
      </c>
      <c r="C30" s="31" t="s">
        <v>415</v>
      </c>
      <c r="D30" s="38"/>
      <c r="E30" s="5">
        <v>1</v>
      </c>
      <c r="F30" s="5">
        <v>0</v>
      </c>
      <c r="G30" s="5">
        <f t="shared" si="0"/>
        <v>1</v>
      </c>
    </row>
    <row r="31" ht="21" spans="1:7">
      <c r="A31" s="11">
        <v>26</v>
      </c>
      <c r="B31" s="11" t="s">
        <v>396</v>
      </c>
      <c r="C31" s="31" t="s">
        <v>416</v>
      </c>
      <c r="D31" s="38" t="s">
        <v>409</v>
      </c>
      <c r="E31" s="5">
        <v>4</v>
      </c>
      <c r="F31" s="5">
        <v>0</v>
      </c>
      <c r="G31" s="5">
        <f t="shared" si="0"/>
        <v>4</v>
      </c>
    </row>
    <row r="32" ht="21" spans="1:7">
      <c r="A32" s="11">
        <v>27</v>
      </c>
      <c r="B32" s="11" t="s">
        <v>396</v>
      </c>
      <c r="C32" s="31" t="s">
        <v>417</v>
      </c>
      <c r="D32" s="38" t="s">
        <v>418</v>
      </c>
      <c r="E32" s="5">
        <v>1</v>
      </c>
      <c r="F32" s="5">
        <v>0</v>
      </c>
      <c r="G32" s="5">
        <f t="shared" si="0"/>
        <v>1</v>
      </c>
    </row>
    <row r="33" ht="21" spans="1:7">
      <c r="A33" s="11">
        <v>28</v>
      </c>
      <c r="B33" s="11" t="s">
        <v>396</v>
      </c>
      <c r="C33" s="98" t="s">
        <v>419</v>
      </c>
      <c r="D33" s="38"/>
      <c r="E33" s="5"/>
      <c r="F33" s="5">
        <v>0</v>
      </c>
      <c r="G33" s="5">
        <f t="shared" si="0"/>
        <v>0</v>
      </c>
    </row>
    <row r="34" ht="21" spans="1:7">
      <c r="A34" s="11">
        <v>29</v>
      </c>
      <c r="B34" s="11" t="s">
        <v>396</v>
      </c>
      <c r="C34" s="98" t="s">
        <v>420</v>
      </c>
      <c r="D34" s="38"/>
      <c r="E34" s="5"/>
      <c r="F34" s="5">
        <v>0</v>
      </c>
      <c r="G34" s="5">
        <f t="shared" si="0"/>
        <v>0</v>
      </c>
    </row>
    <row r="35" ht="21" spans="1:7">
      <c r="A35" s="11">
        <v>30</v>
      </c>
      <c r="B35" s="11" t="s">
        <v>396</v>
      </c>
      <c r="C35" s="31" t="s">
        <v>421</v>
      </c>
      <c r="D35" s="38"/>
      <c r="E35" s="5">
        <v>1</v>
      </c>
      <c r="F35" s="5">
        <v>0</v>
      </c>
      <c r="G35" s="5">
        <f t="shared" si="0"/>
        <v>1</v>
      </c>
    </row>
    <row r="36" ht="21" spans="1:7">
      <c r="A36" s="11">
        <v>31</v>
      </c>
      <c r="B36" s="11" t="s">
        <v>396</v>
      </c>
      <c r="C36" s="31" t="s">
        <v>422</v>
      </c>
      <c r="D36" s="38"/>
      <c r="E36" s="5">
        <v>2</v>
      </c>
      <c r="F36" s="5">
        <v>0</v>
      </c>
      <c r="G36" s="5">
        <f t="shared" si="0"/>
        <v>2</v>
      </c>
    </row>
    <row r="37" ht="21" spans="1:11">
      <c r="A37" s="11">
        <v>32</v>
      </c>
      <c r="B37" s="11" t="s">
        <v>396</v>
      </c>
      <c r="C37" s="31" t="s">
        <v>423</v>
      </c>
      <c r="D37" s="38"/>
      <c r="E37" s="5">
        <v>2</v>
      </c>
      <c r="F37" s="5">
        <v>0</v>
      </c>
      <c r="G37" s="5">
        <f t="shared" si="0"/>
        <v>2</v>
      </c>
      <c r="K37" t="s">
        <v>424</v>
      </c>
    </row>
    <row r="38" ht="21" spans="1:7">
      <c r="A38" s="11">
        <v>33</v>
      </c>
      <c r="B38" s="11" t="s">
        <v>396</v>
      </c>
      <c r="C38" s="31" t="s">
        <v>401</v>
      </c>
      <c r="D38" s="38"/>
      <c r="E38" s="5">
        <v>1</v>
      </c>
      <c r="F38" s="5">
        <v>0</v>
      </c>
      <c r="G38" s="5">
        <f t="shared" si="0"/>
        <v>1</v>
      </c>
    </row>
    <row r="39" ht="21" spans="1:7">
      <c r="A39" s="11">
        <v>34</v>
      </c>
      <c r="B39" s="11" t="s">
        <v>396</v>
      </c>
      <c r="C39" s="31" t="s">
        <v>425</v>
      </c>
      <c r="D39" s="38"/>
      <c r="E39" s="5">
        <v>4</v>
      </c>
      <c r="F39" s="5">
        <v>0</v>
      </c>
      <c r="G39" s="5">
        <f t="shared" si="0"/>
        <v>4</v>
      </c>
    </row>
    <row r="40" ht="21" spans="3:7">
      <c r="C40" s="98" t="s">
        <v>426</v>
      </c>
      <c r="D40" s="38"/>
      <c r="E40" s="5"/>
      <c r="F40" s="5"/>
      <c r="G40" s="5">
        <f t="shared" si="0"/>
        <v>0</v>
      </c>
    </row>
    <row r="41" ht="21" spans="1:7">
      <c r="A41" s="11">
        <v>35</v>
      </c>
      <c r="B41" s="11" t="s">
        <v>396</v>
      </c>
      <c r="C41" s="31" t="s">
        <v>427</v>
      </c>
      <c r="D41" s="38"/>
      <c r="E41" s="5">
        <v>3</v>
      </c>
      <c r="F41" s="5">
        <v>0</v>
      </c>
      <c r="G41" s="5">
        <f t="shared" si="0"/>
        <v>3</v>
      </c>
    </row>
    <row r="42" ht="21" spans="1:7">
      <c r="A42" s="11">
        <v>36</v>
      </c>
      <c r="B42" s="11" t="s">
        <v>396</v>
      </c>
      <c r="C42" s="31" t="s">
        <v>428</v>
      </c>
      <c r="D42" s="38"/>
      <c r="E42" s="5">
        <v>3</v>
      </c>
      <c r="F42" s="5">
        <v>3</v>
      </c>
      <c r="G42" s="5">
        <f t="shared" si="0"/>
        <v>0</v>
      </c>
    </row>
    <row r="43" ht="21" spans="1:7">
      <c r="A43" s="11">
        <v>37</v>
      </c>
      <c r="B43" s="11" t="s">
        <v>396</v>
      </c>
      <c r="C43" s="31" t="s">
        <v>429</v>
      </c>
      <c r="D43" s="38"/>
      <c r="E43" s="5">
        <v>1</v>
      </c>
      <c r="F43" s="5">
        <v>0</v>
      </c>
      <c r="G43" s="5">
        <f t="shared" si="0"/>
        <v>1</v>
      </c>
    </row>
    <row r="44" ht="21" spans="1:7">
      <c r="A44" s="11">
        <v>38</v>
      </c>
      <c r="B44" s="11" t="s">
        <v>396</v>
      </c>
      <c r="C44" s="31" t="s">
        <v>430</v>
      </c>
      <c r="D44" s="38"/>
      <c r="E44" s="5">
        <v>2</v>
      </c>
      <c r="F44" s="5">
        <v>0</v>
      </c>
      <c r="G44" s="5">
        <f t="shared" si="0"/>
        <v>2</v>
      </c>
    </row>
    <row r="45" ht="21" spans="1:7">
      <c r="A45" s="11">
        <v>39</v>
      </c>
      <c r="B45" s="11" t="s">
        <v>396</v>
      </c>
      <c r="C45" s="31" t="s">
        <v>431</v>
      </c>
      <c r="D45" s="38"/>
      <c r="E45" s="5">
        <v>1</v>
      </c>
      <c r="F45" s="5">
        <v>0</v>
      </c>
      <c r="G45" s="5">
        <f t="shared" si="0"/>
        <v>1</v>
      </c>
    </row>
    <row r="46" ht="21" spans="1:7">
      <c r="A46" s="11">
        <v>40</v>
      </c>
      <c r="B46" s="11" t="s">
        <v>396</v>
      </c>
      <c r="C46" s="31" t="s">
        <v>432</v>
      </c>
      <c r="D46" s="38"/>
      <c r="E46" s="5">
        <v>2</v>
      </c>
      <c r="F46" s="5">
        <v>0</v>
      </c>
      <c r="G46" s="5">
        <v>2</v>
      </c>
    </row>
    <row r="47" ht="21" spans="1:7">
      <c r="A47" s="11">
        <v>41</v>
      </c>
      <c r="B47" s="11" t="s">
        <v>396</v>
      </c>
      <c r="C47" s="31" t="s">
        <v>433</v>
      </c>
      <c r="D47" s="38"/>
      <c r="E47" s="5">
        <v>2</v>
      </c>
      <c r="F47" s="5">
        <v>0</v>
      </c>
      <c r="G47" s="5">
        <f t="shared" ref="G47:G53" si="1">E47-F47</f>
        <v>2</v>
      </c>
    </row>
    <row r="48" ht="21" spans="1:7">
      <c r="A48" s="11">
        <v>42</v>
      </c>
      <c r="B48" s="11" t="s">
        <v>396</v>
      </c>
      <c r="C48" s="31" t="s">
        <v>434</v>
      </c>
      <c r="D48" s="38"/>
      <c r="E48" s="5">
        <v>10</v>
      </c>
      <c r="F48" s="5">
        <v>0</v>
      </c>
      <c r="G48" s="5">
        <f t="shared" si="1"/>
        <v>10</v>
      </c>
    </row>
    <row r="49" ht="21" spans="1:7">
      <c r="A49" s="11">
        <v>43</v>
      </c>
      <c r="B49" s="11" t="s">
        <v>396</v>
      </c>
      <c r="C49" s="31" t="s">
        <v>435</v>
      </c>
      <c r="D49" s="38"/>
      <c r="E49" s="5">
        <v>20</v>
      </c>
      <c r="F49" s="5">
        <v>0</v>
      </c>
      <c r="G49" s="5">
        <f t="shared" si="1"/>
        <v>20</v>
      </c>
    </row>
    <row r="50" ht="21" spans="1:7">
      <c r="A50" s="11">
        <v>44</v>
      </c>
      <c r="B50" s="11" t="s">
        <v>396</v>
      </c>
      <c r="C50" s="31" t="s">
        <v>436</v>
      </c>
      <c r="D50" s="38"/>
      <c r="E50" s="5">
        <v>4</v>
      </c>
      <c r="F50" s="5">
        <v>0</v>
      </c>
      <c r="G50" s="5">
        <f t="shared" si="1"/>
        <v>4</v>
      </c>
    </row>
    <row r="51" ht="21" spans="1:7">
      <c r="A51" s="11">
        <v>45</v>
      </c>
      <c r="B51" s="11" t="s">
        <v>396</v>
      </c>
      <c r="C51" s="31" t="s">
        <v>437</v>
      </c>
      <c r="D51" s="38"/>
      <c r="E51" s="5">
        <v>5</v>
      </c>
      <c r="F51" s="5">
        <v>0</v>
      </c>
      <c r="G51" s="5">
        <f t="shared" si="1"/>
        <v>5</v>
      </c>
    </row>
    <row r="52" ht="21" spans="1:7">
      <c r="A52" s="11">
        <v>46</v>
      </c>
      <c r="B52" s="11" t="s">
        <v>396</v>
      </c>
      <c r="C52" s="31" t="s">
        <v>438</v>
      </c>
      <c r="D52" s="38"/>
      <c r="E52" s="5">
        <v>1</v>
      </c>
      <c r="F52" s="5">
        <v>0</v>
      </c>
      <c r="G52" s="5">
        <f t="shared" si="1"/>
        <v>1</v>
      </c>
    </row>
    <row r="53" ht="21" spans="1:7">
      <c r="A53" s="11">
        <v>47</v>
      </c>
      <c r="B53" s="11" t="s">
        <v>396</v>
      </c>
      <c r="C53" s="31" t="s">
        <v>439</v>
      </c>
      <c r="D53" s="38"/>
      <c r="E53" s="5">
        <v>3</v>
      </c>
      <c r="F53" s="5">
        <v>1</v>
      </c>
      <c r="G53" s="5">
        <f t="shared" si="1"/>
        <v>2</v>
      </c>
    </row>
    <row r="54" ht="21" spans="1:7">
      <c r="A54" s="11">
        <v>48</v>
      </c>
      <c r="B54" s="11" t="s">
        <v>396</v>
      </c>
      <c r="C54" s="31"/>
      <c r="D54" s="38"/>
      <c r="E54" s="5"/>
      <c r="F54" s="5"/>
      <c r="G54" s="5"/>
    </row>
    <row r="55" ht="21" spans="1:7">
      <c r="A55" s="11">
        <v>49</v>
      </c>
      <c r="B55" s="11" t="s">
        <v>396</v>
      </c>
      <c r="C55" s="31"/>
      <c r="D55" s="38"/>
      <c r="E55" s="5"/>
      <c r="F55" s="5"/>
      <c r="G55" s="5"/>
    </row>
    <row r="56" ht="21" spans="1:7">
      <c r="A56" s="11">
        <v>50</v>
      </c>
      <c r="B56" s="11" t="s">
        <v>396</v>
      </c>
      <c r="C56" s="31"/>
      <c r="D56" s="38"/>
      <c r="E56" s="4"/>
      <c r="F56" s="4"/>
      <c r="G56" s="5"/>
    </row>
    <row r="57" ht="21" spans="1:7">
      <c r="A57" s="11">
        <v>51</v>
      </c>
      <c r="B57" s="11" t="s">
        <v>396</v>
      </c>
      <c r="C57" s="99" t="s">
        <v>440</v>
      </c>
      <c r="D57" s="38"/>
      <c r="E57" s="4"/>
      <c r="F57" s="4"/>
      <c r="G57" s="5">
        <f>E57-F57</f>
        <v>0</v>
      </c>
    </row>
    <row r="58" ht="21" spans="1:7">
      <c r="A58" s="11">
        <v>52</v>
      </c>
      <c r="B58" s="11" t="s">
        <v>396</v>
      </c>
      <c r="C58" s="31" t="s">
        <v>441</v>
      </c>
      <c r="D58" s="38"/>
      <c r="E58" s="4">
        <v>4</v>
      </c>
      <c r="F58" s="4">
        <v>1</v>
      </c>
      <c r="G58" s="5">
        <f t="shared" ref="G57:G62" si="2">E58-F58</f>
        <v>3</v>
      </c>
    </row>
    <row r="59" ht="21" spans="1:7">
      <c r="A59" s="11">
        <v>53</v>
      </c>
      <c r="B59" s="11" t="s">
        <v>396</v>
      </c>
      <c r="C59" s="31" t="s">
        <v>442</v>
      </c>
      <c r="D59" s="38"/>
      <c r="E59" s="4">
        <v>2</v>
      </c>
      <c r="F59" s="4"/>
      <c r="G59" s="5">
        <f t="shared" si="2"/>
        <v>2</v>
      </c>
    </row>
    <row r="60" ht="21" spans="1:7">
      <c r="A60" s="11">
        <v>54</v>
      </c>
      <c r="B60" s="11" t="s">
        <v>396</v>
      </c>
      <c r="C60" s="31" t="s">
        <v>443</v>
      </c>
      <c r="D60" s="38"/>
      <c r="E60" s="4">
        <v>2</v>
      </c>
      <c r="F60" s="4">
        <v>0</v>
      </c>
      <c r="G60" s="5">
        <f t="shared" si="2"/>
        <v>2</v>
      </c>
    </row>
    <row r="61" ht="21" spans="1:7">
      <c r="A61" s="11">
        <v>55</v>
      </c>
      <c r="B61" s="11" t="s">
        <v>396</v>
      </c>
      <c r="C61" s="31" t="s">
        <v>444</v>
      </c>
      <c r="D61" s="38"/>
      <c r="E61" s="4">
        <v>1</v>
      </c>
      <c r="F61" s="4">
        <v>0</v>
      </c>
      <c r="G61" s="5">
        <f t="shared" si="2"/>
        <v>1</v>
      </c>
    </row>
    <row r="62" ht="21" spans="1:7">
      <c r="A62" s="11">
        <v>56</v>
      </c>
      <c r="B62" s="11" t="s">
        <v>396</v>
      </c>
      <c r="C62" s="31" t="s">
        <v>445</v>
      </c>
      <c r="D62" s="38"/>
      <c r="E62" s="4">
        <v>2</v>
      </c>
      <c r="F62" s="4">
        <v>0</v>
      </c>
      <c r="G62" s="5">
        <f t="shared" si="2"/>
        <v>2</v>
      </c>
    </row>
    <row r="63" ht="21" spans="1:7">
      <c r="A63" s="11">
        <v>57</v>
      </c>
      <c r="B63" s="11" t="s">
        <v>396</v>
      </c>
      <c r="C63" s="100" t="s">
        <v>446</v>
      </c>
      <c r="D63" s="38"/>
      <c r="E63" s="4">
        <v>1</v>
      </c>
      <c r="F63" s="4">
        <v>0</v>
      </c>
      <c r="G63" s="5">
        <f t="shared" ref="G63:G88" si="3">E63-F63</f>
        <v>1</v>
      </c>
    </row>
    <row r="64" ht="21" spans="1:7">
      <c r="A64" s="11">
        <v>58</v>
      </c>
      <c r="B64" s="11" t="s">
        <v>396</v>
      </c>
      <c r="C64" s="31" t="s">
        <v>447</v>
      </c>
      <c r="D64" s="38"/>
      <c r="E64" s="4">
        <v>1</v>
      </c>
      <c r="F64" s="4">
        <v>0</v>
      </c>
      <c r="G64" s="5">
        <f t="shared" si="3"/>
        <v>1</v>
      </c>
    </row>
    <row r="65" ht="21" spans="1:7">
      <c r="A65" s="11">
        <v>59</v>
      </c>
      <c r="B65" s="11" t="s">
        <v>396</v>
      </c>
      <c r="C65" s="31" t="s">
        <v>448</v>
      </c>
      <c r="D65" s="38"/>
      <c r="E65" s="4">
        <v>4</v>
      </c>
      <c r="F65" s="4">
        <v>0</v>
      </c>
      <c r="G65" s="5">
        <f t="shared" si="3"/>
        <v>4</v>
      </c>
    </row>
    <row r="66" ht="21" spans="1:7">
      <c r="A66" s="11">
        <v>60</v>
      </c>
      <c r="B66" s="11" t="s">
        <v>396</v>
      </c>
      <c r="C66" s="31" t="s">
        <v>449</v>
      </c>
      <c r="D66" s="38"/>
      <c r="E66" s="4">
        <v>1</v>
      </c>
      <c r="F66" s="4"/>
      <c r="G66" s="5">
        <f t="shared" si="3"/>
        <v>1</v>
      </c>
    </row>
    <row r="67" ht="21" spans="1:7">
      <c r="A67" s="11">
        <v>61</v>
      </c>
      <c r="B67" s="11" t="s">
        <v>396</v>
      </c>
      <c r="C67" s="31" t="s">
        <v>450</v>
      </c>
      <c r="D67" s="38"/>
      <c r="E67" s="4">
        <v>3</v>
      </c>
      <c r="F67" s="4">
        <v>1</v>
      </c>
      <c r="G67" s="5">
        <f t="shared" si="3"/>
        <v>2</v>
      </c>
    </row>
    <row r="68" ht="21" spans="1:7">
      <c r="A68" s="11">
        <v>62</v>
      </c>
      <c r="B68" s="11" t="s">
        <v>396</v>
      </c>
      <c r="C68" s="31" t="s">
        <v>451</v>
      </c>
      <c r="D68" s="38"/>
      <c r="E68" s="4">
        <v>1</v>
      </c>
      <c r="F68" s="4">
        <v>0</v>
      </c>
      <c r="G68" s="5">
        <f t="shared" si="3"/>
        <v>1</v>
      </c>
    </row>
    <row r="69" ht="21" spans="1:7">
      <c r="A69" s="11">
        <v>63</v>
      </c>
      <c r="B69" s="11" t="s">
        <v>396</v>
      </c>
      <c r="C69" s="31" t="s">
        <v>452</v>
      </c>
      <c r="D69" s="38" t="s">
        <v>453</v>
      </c>
      <c r="E69" s="4">
        <v>3</v>
      </c>
      <c r="F69" s="4">
        <v>0</v>
      </c>
      <c r="G69" s="5">
        <f t="shared" si="3"/>
        <v>3</v>
      </c>
    </row>
    <row r="70" ht="21" spans="1:7">
      <c r="A70" s="11">
        <v>64</v>
      </c>
      <c r="B70" s="11" t="s">
        <v>396</v>
      </c>
      <c r="C70" s="101" t="s">
        <v>400</v>
      </c>
      <c r="D70" s="102"/>
      <c r="E70" s="95">
        <v>23</v>
      </c>
      <c r="F70" s="95">
        <v>10</v>
      </c>
      <c r="G70" s="103">
        <f t="shared" si="3"/>
        <v>13</v>
      </c>
    </row>
    <row r="71" ht="21" spans="1:7">
      <c r="A71" s="11">
        <v>65</v>
      </c>
      <c r="B71" s="11" t="s">
        <v>396</v>
      </c>
      <c r="C71" s="31" t="s">
        <v>454</v>
      </c>
      <c r="D71" s="38" t="s">
        <v>453</v>
      </c>
      <c r="E71" s="4">
        <v>1</v>
      </c>
      <c r="F71" s="4">
        <v>0</v>
      </c>
      <c r="G71" s="5">
        <f t="shared" si="3"/>
        <v>1</v>
      </c>
    </row>
    <row r="72" ht="21" spans="1:7">
      <c r="A72" s="11">
        <v>66</v>
      </c>
      <c r="B72" s="11" t="s">
        <v>396</v>
      </c>
      <c r="C72" s="31" t="s">
        <v>455</v>
      </c>
      <c r="D72" s="38" t="s">
        <v>453</v>
      </c>
      <c r="E72" s="4">
        <v>1</v>
      </c>
      <c r="F72" s="4">
        <v>0</v>
      </c>
      <c r="G72" s="5">
        <f t="shared" si="3"/>
        <v>1</v>
      </c>
    </row>
    <row r="73" ht="21" spans="1:7">
      <c r="A73" s="11">
        <v>67</v>
      </c>
      <c r="B73" s="11" t="s">
        <v>396</v>
      </c>
      <c r="C73" s="104" t="s">
        <v>456</v>
      </c>
      <c r="D73" s="38"/>
      <c r="E73" s="4"/>
      <c r="F73" s="4">
        <v>0</v>
      </c>
      <c r="G73" s="5">
        <f t="shared" si="3"/>
        <v>0</v>
      </c>
    </row>
    <row r="74" ht="21" spans="1:7">
      <c r="A74" s="11">
        <v>68</v>
      </c>
      <c r="B74" s="11" t="s">
        <v>396</v>
      </c>
      <c r="C74" s="105" t="s">
        <v>457</v>
      </c>
      <c r="D74" s="38" t="s">
        <v>453</v>
      </c>
      <c r="E74" s="4">
        <v>1</v>
      </c>
      <c r="F74" s="4">
        <v>0</v>
      </c>
      <c r="G74" s="5">
        <f t="shared" si="3"/>
        <v>1</v>
      </c>
    </row>
    <row r="75" ht="21" spans="1:7">
      <c r="A75" s="11">
        <v>69</v>
      </c>
      <c r="B75" s="11" t="s">
        <v>396</v>
      </c>
      <c r="C75" s="105" t="s">
        <v>458</v>
      </c>
      <c r="D75" s="38" t="s">
        <v>453</v>
      </c>
      <c r="E75" s="4">
        <v>2</v>
      </c>
      <c r="F75" s="4">
        <v>0</v>
      </c>
      <c r="G75" s="5">
        <f t="shared" si="3"/>
        <v>2</v>
      </c>
    </row>
    <row r="76" ht="21" spans="1:7">
      <c r="A76" s="11">
        <v>70</v>
      </c>
      <c r="B76" s="11" t="s">
        <v>396</v>
      </c>
      <c r="C76" s="31"/>
      <c r="D76" s="38"/>
      <c r="E76" s="4"/>
      <c r="F76" s="4">
        <v>0</v>
      </c>
      <c r="G76" s="5">
        <f t="shared" si="3"/>
        <v>0</v>
      </c>
    </row>
    <row r="77" ht="21" spans="1:7">
      <c r="A77" s="11">
        <v>71</v>
      </c>
      <c r="B77" s="11" t="s">
        <v>396</v>
      </c>
      <c r="C77" s="31" t="s">
        <v>459</v>
      </c>
      <c r="D77" s="38"/>
      <c r="E77" s="4">
        <v>4</v>
      </c>
      <c r="F77" s="4">
        <v>0</v>
      </c>
      <c r="G77" s="5">
        <f t="shared" si="3"/>
        <v>4</v>
      </c>
    </row>
    <row r="78" ht="21" spans="1:7">
      <c r="A78" s="11">
        <v>72</v>
      </c>
      <c r="B78" s="11" t="s">
        <v>396</v>
      </c>
      <c r="C78" s="31" t="s">
        <v>460</v>
      </c>
      <c r="D78" s="38"/>
      <c r="E78" s="4">
        <v>19</v>
      </c>
      <c r="F78" s="4">
        <v>15</v>
      </c>
      <c r="G78" s="5">
        <f t="shared" si="3"/>
        <v>4</v>
      </c>
    </row>
    <row r="79" ht="21" spans="1:7">
      <c r="A79" s="11">
        <v>73</v>
      </c>
      <c r="B79" s="11" t="s">
        <v>396</v>
      </c>
      <c r="C79" s="31" t="s">
        <v>461</v>
      </c>
      <c r="D79" s="38"/>
      <c r="E79" s="4">
        <v>6</v>
      </c>
      <c r="F79" s="4">
        <v>0</v>
      </c>
      <c r="G79" s="5">
        <f t="shared" si="3"/>
        <v>6</v>
      </c>
    </row>
    <row r="80" ht="21" spans="1:7">
      <c r="A80" s="11">
        <v>74</v>
      </c>
      <c r="B80" s="11" t="s">
        <v>396</v>
      </c>
      <c r="C80" s="31" t="s">
        <v>462</v>
      </c>
      <c r="D80" s="38"/>
      <c r="E80" s="4">
        <v>6</v>
      </c>
      <c r="F80" s="4"/>
      <c r="G80" s="5">
        <f t="shared" si="3"/>
        <v>6</v>
      </c>
    </row>
    <row r="81" ht="21" spans="1:7">
      <c r="A81" s="11">
        <v>75</v>
      </c>
      <c r="B81" s="11" t="s">
        <v>396</v>
      </c>
      <c r="C81" s="31" t="s">
        <v>463</v>
      </c>
      <c r="D81" s="38"/>
      <c r="E81" s="4">
        <v>12</v>
      </c>
      <c r="F81" s="4">
        <v>0</v>
      </c>
      <c r="G81" s="5">
        <f t="shared" si="3"/>
        <v>12</v>
      </c>
    </row>
    <row r="82" ht="21" spans="1:7">
      <c r="A82" s="11">
        <v>76</v>
      </c>
      <c r="B82" s="11" t="s">
        <v>396</v>
      </c>
      <c r="C82" s="31" t="s">
        <v>464</v>
      </c>
      <c r="D82" s="38"/>
      <c r="E82" s="4">
        <v>3</v>
      </c>
      <c r="F82" s="4">
        <v>0</v>
      </c>
      <c r="G82" s="5">
        <f t="shared" si="3"/>
        <v>3</v>
      </c>
    </row>
    <row r="83" ht="21" spans="1:7">
      <c r="A83" s="11">
        <v>77</v>
      </c>
      <c r="B83" s="11" t="s">
        <v>396</v>
      </c>
      <c r="C83" s="31" t="s">
        <v>465</v>
      </c>
      <c r="D83" s="38" t="s">
        <v>466</v>
      </c>
      <c r="E83" s="4">
        <v>3</v>
      </c>
      <c r="F83" s="4">
        <v>1</v>
      </c>
      <c r="G83" s="5">
        <f t="shared" si="3"/>
        <v>2</v>
      </c>
    </row>
    <row r="84" ht="21" spans="1:7">
      <c r="A84" s="11">
        <v>78</v>
      </c>
      <c r="B84" s="11" t="s">
        <v>396</v>
      </c>
      <c r="C84" s="31" t="s">
        <v>467</v>
      </c>
      <c r="D84" s="38"/>
      <c r="E84" s="4">
        <v>13</v>
      </c>
      <c r="F84" s="4">
        <v>1</v>
      </c>
      <c r="G84" s="5">
        <f t="shared" si="3"/>
        <v>12</v>
      </c>
    </row>
    <row r="85" ht="21" spans="1:7">
      <c r="A85" s="11">
        <v>79</v>
      </c>
      <c r="B85" s="11" t="s">
        <v>396</v>
      </c>
      <c r="C85" s="31" t="s">
        <v>468</v>
      </c>
      <c r="D85" s="38"/>
      <c r="E85" s="4">
        <v>5</v>
      </c>
      <c r="F85" s="4"/>
      <c r="G85" s="5">
        <f t="shared" si="3"/>
        <v>5</v>
      </c>
    </row>
    <row r="86" ht="21" spans="1:7">
      <c r="A86" s="11">
        <v>80</v>
      </c>
      <c r="B86" s="11" t="s">
        <v>396</v>
      </c>
      <c r="C86" s="31" t="s">
        <v>469</v>
      </c>
      <c r="D86" s="38"/>
      <c r="E86" s="4">
        <v>6</v>
      </c>
      <c r="F86" s="4">
        <v>2</v>
      </c>
      <c r="G86" s="5">
        <f t="shared" si="3"/>
        <v>4</v>
      </c>
    </row>
    <row r="87" ht="21" spans="1:7">
      <c r="A87" s="11">
        <v>81</v>
      </c>
      <c r="B87" s="11" t="s">
        <v>396</v>
      </c>
      <c r="C87" s="31" t="s">
        <v>470</v>
      </c>
      <c r="D87" s="38"/>
      <c r="E87" s="4">
        <v>1</v>
      </c>
      <c r="F87" s="4">
        <v>0</v>
      </c>
      <c r="G87" s="5">
        <f t="shared" si="3"/>
        <v>1</v>
      </c>
    </row>
    <row r="88" ht="21" spans="1:7">
      <c r="A88" s="11">
        <v>82</v>
      </c>
      <c r="B88" s="11" t="s">
        <v>396</v>
      </c>
      <c r="C88" s="31" t="s">
        <v>471</v>
      </c>
      <c r="D88" s="38"/>
      <c r="E88" s="4">
        <v>2</v>
      </c>
      <c r="F88" s="4">
        <v>0</v>
      </c>
      <c r="G88" s="5">
        <f t="shared" si="3"/>
        <v>2</v>
      </c>
    </row>
    <row r="89" ht="21" spans="1:7">
      <c r="A89" s="11">
        <v>83</v>
      </c>
      <c r="B89" s="11" t="s">
        <v>396</v>
      </c>
      <c r="C89" s="31" t="s">
        <v>472</v>
      </c>
      <c r="D89" s="38"/>
      <c r="E89" s="4">
        <v>3</v>
      </c>
      <c r="F89" s="4">
        <v>0</v>
      </c>
      <c r="G89" s="5">
        <f t="shared" ref="G89:G96" si="4">E89-F89</f>
        <v>3</v>
      </c>
    </row>
    <row r="90" ht="21" spans="1:7">
      <c r="A90" s="11">
        <v>84</v>
      </c>
      <c r="B90" s="11" t="s">
        <v>396</v>
      </c>
      <c r="C90" s="31" t="s">
        <v>473</v>
      </c>
      <c r="D90" s="38" t="s">
        <v>474</v>
      </c>
      <c r="E90" s="4">
        <v>2</v>
      </c>
      <c r="F90" s="4">
        <v>0</v>
      </c>
      <c r="G90" s="5">
        <f t="shared" si="4"/>
        <v>2</v>
      </c>
    </row>
    <row r="91" ht="21" spans="1:7">
      <c r="A91" s="11">
        <v>85</v>
      </c>
      <c r="B91" s="11" t="s">
        <v>396</v>
      </c>
      <c r="C91" s="31" t="s">
        <v>475</v>
      </c>
      <c r="D91" s="38" t="s">
        <v>476</v>
      </c>
      <c r="E91" s="106">
        <v>10</v>
      </c>
      <c r="F91" s="4"/>
      <c r="G91" s="5">
        <f t="shared" ref="G91:G99" si="5">E91-F91</f>
        <v>10</v>
      </c>
    </row>
    <row r="92" ht="21" spans="1:7">
      <c r="A92" s="11">
        <v>86</v>
      </c>
      <c r="B92" s="11" t="s">
        <v>396</v>
      </c>
      <c r="C92" s="31" t="s">
        <v>477</v>
      </c>
      <c r="D92" s="38" t="s">
        <v>478</v>
      </c>
      <c r="E92" s="4">
        <v>4</v>
      </c>
      <c r="F92" s="4">
        <v>1</v>
      </c>
      <c r="G92" s="5">
        <f t="shared" si="5"/>
        <v>3</v>
      </c>
    </row>
    <row r="93" ht="21" spans="1:7">
      <c r="A93" s="11">
        <v>87</v>
      </c>
      <c r="B93" s="11" t="s">
        <v>396</v>
      </c>
      <c r="C93" s="31" t="s">
        <v>479</v>
      </c>
      <c r="D93" s="38"/>
      <c r="E93" s="4">
        <v>4</v>
      </c>
      <c r="F93" s="4">
        <v>0</v>
      </c>
      <c r="G93" s="5">
        <f t="shared" si="5"/>
        <v>4</v>
      </c>
    </row>
    <row r="94" ht="21" spans="1:7">
      <c r="A94" s="11">
        <v>88</v>
      </c>
      <c r="B94" s="11" t="s">
        <v>396</v>
      </c>
      <c r="C94" s="31" t="s">
        <v>480</v>
      </c>
      <c r="D94" s="38"/>
      <c r="E94" s="4">
        <v>2</v>
      </c>
      <c r="F94" s="4">
        <v>0</v>
      </c>
      <c r="G94" s="5">
        <f t="shared" si="5"/>
        <v>2</v>
      </c>
    </row>
    <row r="95" ht="21" spans="1:7">
      <c r="A95" s="11">
        <v>89</v>
      </c>
      <c r="B95" s="11" t="s">
        <v>396</v>
      </c>
      <c r="C95" s="31" t="s">
        <v>481</v>
      </c>
      <c r="D95" s="38" t="s">
        <v>482</v>
      </c>
      <c r="E95" s="4">
        <v>2</v>
      </c>
      <c r="F95" s="4"/>
      <c r="G95" s="5">
        <f t="shared" si="5"/>
        <v>2</v>
      </c>
    </row>
    <row r="96" ht="21" spans="1:7">
      <c r="A96" s="11">
        <v>90</v>
      </c>
      <c r="B96" s="11" t="s">
        <v>396</v>
      </c>
      <c r="C96" s="31" t="s">
        <v>483</v>
      </c>
      <c r="D96" s="38" t="s">
        <v>484</v>
      </c>
      <c r="E96" s="4">
        <v>1</v>
      </c>
      <c r="F96" s="4">
        <v>0</v>
      </c>
      <c r="G96" s="5">
        <f t="shared" si="5"/>
        <v>1</v>
      </c>
    </row>
    <row r="97" ht="21" spans="1:7">
      <c r="A97" s="11">
        <v>91</v>
      </c>
      <c r="B97" s="11" t="s">
        <v>396</v>
      </c>
      <c r="C97" s="31" t="s">
        <v>485</v>
      </c>
      <c r="D97" s="38"/>
      <c r="E97" s="4">
        <v>1</v>
      </c>
      <c r="F97" s="4">
        <v>0</v>
      </c>
      <c r="G97" s="5">
        <f t="shared" si="5"/>
        <v>1</v>
      </c>
    </row>
    <row r="98" ht="21" spans="1:7">
      <c r="A98" s="11">
        <v>92</v>
      </c>
      <c r="B98" s="11" t="s">
        <v>396</v>
      </c>
      <c r="C98" s="31" t="s">
        <v>486</v>
      </c>
      <c r="D98" s="38"/>
      <c r="E98" s="4">
        <v>3</v>
      </c>
      <c r="F98" s="4"/>
      <c r="G98" s="5">
        <f t="shared" si="5"/>
        <v>3</v>
      </c>
    </row>
    <row r="99" ht="21" spans="1:7">
      <c r="A99" s="11">
        <v>93</v>
      </c>
      <c r="B99" s="11" t="s">
        <v>396</v>
      </c>
      <c r="C99" s="31" t="s">
        <v>487</v>
      </c>
      <c r="D99" s="38" t="s">
        <v>488</v>
      </c>
      <c r="E99" s="4">
        <v>2</v>
      </c>
      <c r="F99" s="4">
        <v>2</v>
      </c>
      <c r="G99" s="5">
        <f t="shared" si="5"/>
        <v>0</v>
      </c>
    </row>
    <row r="100" ht="21" spans="1:7">
      <c r="A100" s="11">
        <v>94</v>
      </c>
      <c r="B100" s="11" t="s">
        <v>396</v>
      </c>
      <c r="C100" s="31" t="s">
        <v>489</v>
      </c>
      <c r="D100" s="38" t="s">
        <v>490</v>
      </c>
      <c r="E100" s="4">
        <v>1</v>
      </c>
      <c r="F100" s="4"/>
      <c r="G100" s="5">
        <f t="shared" ref="G100:G110" si="6">E100-F100</f>
        <v>1</v>
      </c>
    </row>
    <row r="101" ht="21" spans="1:7">
      <c r="A101" s="11">
        <v>95</v>
      </c>
      <c r="B101" s="11"/>
      <c r="C101" s="31"/>
      <c r="D101" s="38"/>
      <c r="E101" s="4"/>
      <c r="F101" s="4"/>
      <c r="G101" s="5">
        <f t="shared" si="6"/>
        <v>0</v>
      </c>
    </row>
    <row r="102" ht="21" spans="1:7">
      <c r="A102" s="11">
        <v>96</v>
      </c>
      <c r="B102" s="11"/>
      <c r="C102" s="11"/>
      <c r="D102" s="38"/>
      <c r="E102" s="31"/>
      <c r="F102" s="31"/>
      <c r="G102" s="5">
        <f t="shared" si="6"/>
        <v>0</v>
      </c>
    </row>
    <row r="103" ht="21" spans="1:7">
      <c r="A103" s="11">
        <v>97</v>
      </c>
      <c r="B103" s="11"/>
      <c r="C103" s="11"/>
      <c r="D103" s="38"/>
      <c r="E103" s="11"/>
      <c r="F103" s="11"/>
      <c r="G103" s="5">
        <f t="shared" si="6"/>
        <v>0</v>
      </c>
    </row>
    <row r="104" ht="21" spans="1:7">
      <c r="A104" s="11">
        <v>98</v>
      </c>
      <c r="B104" s="11"/>
      <c r="C104" s="11"/>
      <c r="D104" s="38"/>
      <c r="E104" s="11"/>
      <c r="F104" s="11"/>
      <c r="G104" s="5">
        <f t="shared" si="6"/>
        <v>0</v>
      </c>
    </row>
    <row r="105" ht="21" spans="1:7">
      <c r="A105" s="11">
        <v>99</v>
      </c>
      <c r="B105" s="11"/>
      <c r="C105" s="11"/>
      <c r="D105" s="38"/>
      <c r="E105" s="11"/>
      <c r="F105" s="11"/>
      <c r="G105" s="5">
        <f t="shared" si="6"/>
        <v>0</v>
      </c>
    </row>
    <row r="106" ht="21" spans="1:7">
      <c r="A106" s="11">
        <v>100</v>
      </c>
      <c r="B106" s="11"/>
      <c r="C106" s="11"/>
      <c r="D106" s="38"/>
      <c r="E106" s="11"/>
      <c r="F106" s="11"/>
      <c r="G106" s="5">
        <f t="shared" si="6"/>
        <v>0</v>
      </c>
    </row>
    <row r="107" ht="21" spans="1:7">
      <c r="A107" s="11">
        <v>101</v>
      </c>
      <c r="B107" s="11"/>
      <c r="C107" s="11"/>
      <c r="D107" s="38"/>
      <c r="E107" s="11"/>
      <c r="F107" s="11"/>
      <c r="G107" s="5">
        <f t="shared" si="6"/>
        <v>0</v>
      </c>
    </row>
    <row r="108" ht="21" spans="1:7">
      <c r="A108" s="11">
        <v>102</v>
      </c>
      <c r="B108" s="11"/>
      <c r="C108" s="11"/>
      <c r="D108" s="38"/>
      <c r="E108" s="11"/>
      <c r="F108" s="11"/>
      <c r="G108" s="5">
        <f t="shared" si="6"/>
        <v>0</v>
      </c>
    </row>
    <row r="109" ht="21" spans="1:7">
      <c r="A109" s="11">
        <v>103</v>
      </c>
      <c r="B109" s="11"/>
      <c r="C109" s="11"/>
      <c r="D109" s="38"/>
      <c r="E109" s="11"/>
      <c r="F109" s="11"/>
      <c r="G109" s="5">
        <f t="shared" si="6"/>
        <v>0</v>
      </c>
    </row>
    <row r="110" ht="18.75" spans="1:7">
      <c r="A110" s="11">
        <v>104</v>
      </c>
      <c r="B110" s="11"/>
      <c r="C110" s="11"/>
      <c r="D110" s="11"/>
      <c r="E110" s="11"/>
      <c r="F110" s="11"/>
      <c r="G110" s="5">
        <f t="shared" si="6"/>
        <v>0</v>
      </c>
    </row>
    <row r="111" spans="1:1">
      <c r="A111" s="11">
        <v>105</v>
      </c>
    </row>
    <row r="112" spans="1:1">
      <c r="A112" s="11">
        <v>106</v>
      </c>
    </row>
    <row r="113" spans="1:1">
      <c r="A113" s="11">
        <v>107</v>
      </c>
    </row>
    <row r="114" spans="1:1">
      <c r="A114" s="11">
        <v>108</v>
      </c>
    </row>
    <row r="115" spans="1:1">
      <c r="A115" s="11">
        <v>109</v>
      </c>
    </row>
    <row r="116" spans="1:1">
      <c r="A116" s="11">
        <v>110</v>
      </c>
    </row>
  </sheetData>
  <mergeCells count="1">
    <mergeCell ref="A1:G4"/>
  </mergeCell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"/>
  <sheetViews>
    <sheetView topLeftCell="A65" workbookViewId="0">
      <selection activeCell="J65" sqref="J65"/>
    </sheetView>
  </sheetViews>
  <sheetFormatPr defaultColWidth="9.14285714285714" defaultRowHeight="15" outlineLevelCol="5"/>
  <cols>
    <col min="1" max="1" width="4.14285714285714" customWidth="1"/>
    <col min="2" max="2" width="86.1428571428571" customWidth="1"/>
    <col min="3" max="3" width="44.5714285714286" customWidth="1"/>
    <col min="4" max="4" width="14.1428571428571" customWidth="1"/>
    <col min="5" max="5" width="11.8571428571429" customWidth="1"/>
    <col min="6" max="6" width="12" customWidth="1"/>
  </cols>
  <sheetData>
    <row r="1" spans="1:6">
      <c r="A1" s="76" t="s">
        <v>491</v>
      </c>
      <c r="B1" s="76"/>
      <c r="C1" s="76"/>
      <c r="D1" s="76"/>
      <c r="E1" s="76"/>
      <c r="F1" s="76"/>
    </row>
    <row r="2" spans="1:6">
      <c r="A2" s="76"/>
      <c r="B2" s="76"/>
      <c r="C2" s="76"/>
      <c r="D2" s="76"/>
      <c r="E2" s="76"/>
      <c r="F2" s="76"/>
    </row>
    <row r="3" spans="1:6">
      <c r="A3" s="76"/>
      <c r="B3" s="76"/>
      <c r="C3" s="76"/>
      <c r="D3" s="76"/>
      <c r="E3" s="76"/>
      <c r="F3" s="76"/>
    </row>
    <row r="4" spans="1:6">
      <c r="A4" s="76"/>
      <c r="B4" s="76"/>
      <c r="C4" s="76"/>
      <c r="D4" s="76"/>
      <c r="E4" s="76"/>
      <c r="F4" s="76"/>
    </row>
    <row r="5" ht="30" spans="1:6">
      <c r="A5" s="42" t="s">
        <v>70</v>
      </c>
      <c r="B5" s="43" t="s">
        <v>492</v>
      </c>
      <c r="C5" s="43" t="s">
        <v>493</v>
      </c>
      <c r="D5" s="43" t="s">
        <v>73</v>
      </c>
      <c r="E5" s="43" t="s">
        <v>74</v>
      </c>
      <c r="F5" s="43" t="s">
        <v>160</v>
      </c>
    </row>
    <row r="6" ht="20" customHeight="1" spans="1:6">
      <c r="A6" s="19">
        <v>1</v>
      </c>
      <c r="B6" s="61" t="s">
        <v>494</v>
      </c>
      <c r="C6" s="19" t="s">
        <v>495</v>
      </c>
      <c r="D6" s="19">
        <v>1</v>
      </c>
      <c r="E6" s="19">
        <v>0</v>
      </c>
      <c r="F6" s="77">
        <f>D6-E6</f>
        <v>1</v>
      </c>
    </row>
    <row r="7" ht="21" spans="1:6">
      <c r="A7" s="19">
        <v>2</v>
      </c>
      <c r="B7" s="61" t="s">
        <v>494</v>
      </c>
      <c r="C7" s="19" t="s">
        <v>496</v>
      </c>
      <c r="D7" s="19">
        <v>1</v>
      </c>
      <c r="E7" s="19">
        <v>0</v>
      </c>
      <c r="F7" s="77">
        <f t="shared" ref="F7:F45" si="0">D7-E7</f>
        <v>1</v>
      </c>
    </row>
    <row r="8" ht="21" spans="1:6">
      <c r="A8" s="19">
        <v>3</v>
      </c>
      <c r="B8" s="61" t="s">
        <v>497</v>
      </c>
      <c r="C8" s="19" t="s">
        <v>498</v>
      </c>
      <c r="D8" s="19">
        <v>3</v>
      </c>
      <c r="E8" s="19">
        <v>1</v>
      </c>
      <c r="F8" s="77">
        <f t="shared" si="0"/>
        <v>2</v>
      </c>
    </row>
    <row r="9" ht="21" spans="1:6">
      <c r="A9" s="19">
        <v>4</v>
      </c>
      <c r="B9" s="61" t="s">
        <v>499</v>
      </c>
      <c r="C9" s="19" t="s">
        <v>500</v>
      </c>
      <c r="D9" s="19">
        <v>1</v>
      </c>
      <c r="E9" s="19">
        <v>0</v>
      </c>
      <c r="F9" s="77">
        <f t="shared" si="0"/>
        <v>1</v>
      </c>
    </row>
    <row r="10" ht="21" spans="1:6">
      <c r="A10" s="19">
        <v>5</v>
      </c>
      <c r="B10" s="61" t="s">
        <v>501</v>
      </c>
      <c r="C10" s="19"/>
      <c r="D10" s="19">
        <v>1</v>
      </c>
      <c r="E10" s="19">
        <v>0</v>
      </c>
      <c r="F10" s="77">
        <f t="shared" si="0"/>
        <v>1</v>
      </c>
    </row>
    <row r="11" ht="21" spans="1:6">
      <c r="A11" s="19">
        <v>6</v>
      </c>
      <c r="B11" s="61" t="s">
        <v>502</v>
      </c>
      <c r="C11" s="19"/>
      <c r="D11" s="19">
        <v>1</v>
      </c>
      <c r="E11" s="19">
        <v>0</v>
      </c>
      <c r="F11" s="77">
        <f t="shared" si="0"/>
        <v>1</v>
      </c>
    </row>
    <row r="12" ht="21" spans="1:6">
      <c r="A12" s="19">
        <v>7</v>
      </c>
      <c r="B12" s="61" t="s">
        <v>503</v>
      </c>
      <c r="C12" s="19"/>
      <c r="D12" s="19">
        <v>2</v>
      </c>
      <c r="E12" s="19">
        <v>0</v>
      </c>
      <c r="F12" s="77">
        <f t="shared" si="0"/>
        <v>2</v>
      </c>
    </row>
    <row r="13" ht="21" spans="1:6">
      <c r="A13" s="19">
        <v>8</v>
      </c>
      <c r="B13" s="61" t="s">
        <v>504</v>
      </c>
      <c r="C13" s="19" t="s">
        <v>505</v>
      </c>
      <c r="D13" s="19">
        <v>1</v>
      </c>
      <c r="E13" s="19">
        <v>0</v>
      </c>
      <c r="F13" s="77">
        <f t="shared" si="0"/>
        <v>1</v>
      </c>
    </row>
    <row r="14" ht="21" spans="1:6">
      <c r="A14" s="19">
        <v>9</v>
      </c>
      <c r="B14" s="61" t="s">
        <v>506</v>
      </c>
      <c r="C14" s="19"/>
      <c r="D14" s="19">
        <v>2</v>
      </c>
      <c r="E14" s="19">
        <v>0</v>
      </c>
      <c r="F14" s="77">
        <f t="shared" si="0"/>
        <v>2</v>
      </c>
    </row>
    <row r="15" ht="21" spans="1:6">
      <c r="A15" s="19">
        <v>10</v>
      </c>
      <c r="B15" s="61" t="s">
        <v>507</v>
      </c>
      <c r="C15" s="19"/>
      <c r="D15" s="19">
        <v>2</v>
      </c>
      <c r="E15" s="19">
        <v>0</v>
      </c>
      <c r="F15" s="77">
        <f t="shared" si="0"/>
        <v>2</v>
      </c>
    </row>
    <row r="16" ht="21" spans="1:6">
      <c r="A16" s="19">
        <v>11</v>
      </c>
      <c r="B16" s="61" t="s">
        <v>508</v>
      </c>
      <c r="C16" s="19"/>
      <c r="D16" s="19">
        <v>2</v>
      </c>
      <c r="E16" s="19">
        <v>0</v>
      </c>
      <c r="F16" s="77">
        <f t="shared" si="0"/>
        <v>2</v>
      </c>
    </row>
    <row r="17" ht="21" spans="1:6">
      <c r="A17" s="19">
        <v>12</v>
      </c>
      <c r="B17" s="61" t="s">
        <v>509</v>
      </c>
      <c r="C17" s="19"/>
      <c r="D17" s="19">
        <v>2</v>
      </c>
      <c r="E17" s="19">
        <v>0</v>
      </c>
      <c r="F17" s="77">
        <f t="shared" si="0"/>
        <v>2</v>
      </c>
    </row>
    <row r="18" ht="21" spans="1:6">
      <c r="A18" s="19">
        <v>13</v>
      </c>
      <c r="B18" s="61" t="s">
        <v>510</v>
      </c>
      <c r="C18" s="19"/>
      <c r="D18" s="19">
        <v>2</v>
      </c>
      <c r="E18" s="19">
        <v>0</v>
      </c>
      <c r="F18" s="77">
        <f t="shared" si="0"/>
        <v>2</v>
      </c>
    </row>
    <row r="19" ht="21" spans="1:6">
      <c r="A19" s="19">
        <v>14</v>
      </c>
      <c r="B19" s="61" t="s">
        <v>511</v>
      </c>
      <c r="C19" s="19"/>
      <c r="D19" s="19">
        <v>2</v>
      </c>
      <c r="E19" s="19">
        <v>0</v>
      </c>
      <c r="F19" s="77">
        <f t="shared" si="0"/>
        <v>2</v>
      </c>
    </row>
    <row r="20" ht="21" spans="1:6">
      <c r="A20" s="19">
        <v>15</v>
      </c>
      <c r="B20" s="61" t="s">
        <v>512</v>
      </c>
      <c r="C20" s="19"/>
      <c r="D20" s="19">
        <v>1</v>
      </c>
      <c r="E20" s="19">
        <v>0</v>
      </c>
      <c r="F20" s="77">
        <f t="shared" si="0"/>
        <v>1</v>
      </c>
    </row>
    <row r="21" ht="21" spans="1:6">
      <c r="A21" s="19">
        <v>16</v>
      </c>
      <c r="B21" s="61" t="s">
        <v>513</v>
      </c>
      <c r="C21" s="19" t="s">
        <v>514</v>
      </c>
      <c r="D21" s="19">
        <v>1</v>
      </c>
      <c r="E21" s="19">
        <v>0</v>
      </c>
      <c r="F21" s="77">
        <f t="shared" si="0"/>
        <v>1</v>
      </c>
    </row>
    <row r="22" ht="21" spans="1:6">
      <c r="A22" s="19">
        <v>17</v>
      </c>
      <c r="B22" s="61" t="s">
        <v>515</v>
      </c>
      <c r="C22" s="19"/>
      <c r="D22" s="19">
        <v>2</v>
      </c>
      <c r="E22" s="19">
        <v>0</v>
      </c>
      <c r="F22" s="77">
        <f t="shared" si="0"/>
        <v>2</v>
      </c>
    </row>
    <row r="23" ht="21" spans="1:6">
      <c r="A23" s="19">
        <v>18</v>
      </c>
      <c r="B23" s="61" t="s">
        <v>516</v>
      </c>
      <c r="C23" s="19"/>
      <c r="D23" s="19">
        <v>1</v>
      </c>
      <c r="E23" s="19">
        <v>0</v>
      </c>
      <c r="F23" s="77">
        <f t="shared" si="0"/>
        <v>1</v>
      </c>
    </row>
    <row r="24" ht="21" spans="1:6">
      <c r="A24" s="19">
        <v>19</v>
      </c>
      <c r="B24" s="61" t="s">
        <v>517</v>
      </c>
      <c r="C24" s="19"/>
      <c r="D24" s="19">
        <v>3</v>
      </c>
      <c r="E24" s="19">
        <v>0</v>
      </c>
      <c r="F24" s="77">
        <f t="shared" si="0"/>
        <v>3</v>
      </c>
    </row>
    <row r="25" ht="21" spans="1:6">
      <c r="A25" s="19">
        <v>20</v>
      </c>
      <c r="B25" s="61" t="s">
        <v>518</v>
      </c>
      <c r="C25" s="19"/>
      <c r="D25" s="19">
        <v>2</v>
      </c>
      <c r="E25" s="19">
        <v>0</v>
      </c>
      <c r="F25" s="77">
        <f t="shared" si="0"/>
        <v>2</v>
      </c>
    </row>
    <row r="26" ht="21" spans="1:6">
      <c r="A26" s="19">
        <v>21</v>
      </c>
      <c r="B26" s="61" t="s">
        <v>519</v>
      </c>
      <c r="C26" s="19"/>
      <c r="D26" s="19">
        <v>2</v>
      </c>
      <c r="E26" s="19">
        <v>0</v>
      </c>
      <c r="F26" s="77">
        <f t="shared" si="0"/>
        <v>2</v>
      </c>
    </row>
    <row r="27" ht="21" spans="1:6">
      <c r="A27" s="19">
        <v>22</v>
      </c>
      <c r="B27" s="61" t="s">
        <v>520</v>
      </c>
      <c r="C27" s="19"/>
      <c r="D27" s="19">
        <v>2</v>
      </c>
      <c r="E27" s="19">
        <v>0</v>
      </c>
      <c r="F27" s="77">
        <f t="shared" si="0"/>
        <v>2</v>
      </c>
    </row>
    <row r="28" ht="21" spans="1:6">
      <c r="A28" s="19">
        <v>23</v>
      </c>
      <c r="B28" s="61" t="s">
        <v>521</v>
      </c>
      <c r="C28" s="19"/>
      <c r="D28" s="19">
        <v>2</v>
      </c>
      <c r="E28" s="19">
        <v>0</v>
      </c>
      <c r="F28" s="77">
        <f t="shared" si="0"/>
        <v>2</v>
      </c>
    </row>
    <row r="29" ht="21" spans="1:6">
      <c r="A29" s="19">
        <v>24</v>
      </c>
      <c r="B29" s="61" t="s">
        <v>522</v>
      </c>
      <c r="C29" s="19"/>
      <c r="D29" s="19">
        <v>2</v>
      </c>
      <c r="E29" s="19">
        <v>0</v>
      </c>
      <c r="F29" s="77">
        <f t="shared" si="0"/>
        <v>2</v>
      </c>
    </row>
    <row r="30" ht="21" spans="1:6">
      <c r="A30" s="19">
        <v>25</v>
      </c>
      <c r="B30" s="61" t="s">
        <v>523</v>
      </c>
      <c r="C30" s="19"/>
      <c r="D30" s="19">
        <v>1</v>
      </c>
      <c r="E30" s="19">
        <v>0</v>
      </c>
      <c r="F30" s="77">
        <f t="shared" si="0"/>
        <v>1</v>
      </c>
    </row>
    <row r="31" ht="21" spans="1:6">
      <c r="A31" s="19">
        <v>26</v>
      </c>
      <c r="B31" s="61" t="s">
        <v>524</v>
      </c>
      <c r="C31" s="19"/>
      <c r="D31" s="19">
        <v>4</v>
      </c>
      <c r="E31" s="19">
        <v>0</v>
      </c>
      <c r="F31" s="77">
        <f t="shared" si="0"/>
        <v>4</v>
      </c>
    </row>
    <row r="32" ht="21" spans="1:6">
      <c r="A32" s="19">
        <v>27</v>
      </c>
      <c r="B32" s="61" t="s">
        <v>525</v>
      </c>
      <c r="C32" s="19"/>
      <c r="D32" s="19"/>
      <c r="E32" s="19">
        <v>0</v>
      </c>
      <c r="F32" s="77">
        <f t="shared" si="0"/>
        <v>0</v>
      </c>
    </row>
    <row r="33" ht="21" spans="1:6">
      <c r="A33" s="19">
        <v>28</v>
      </c>
      <c r="B33" s="61" t="s">
        <v>526</v>
      </c>
      <c r="C33" s="19"/>
      <c r="D33" s="19">
        <v>4</v>
      </c>
      <c r="E33" s="19">
        <v>0</v>
      </c>
      <c r="F33" s="77">
        <f t="shared" si="0"/>
        <v>4</v>
      </c>
    </row>
    <row r="34" ht="21" spans="1:6">
      <c r="A34" s="19">
        <v>29</v>
      </c>
      <c r="B34" s="61" t="s">
        <v>527</v>
      </c>
      <c r="C34" s="19"/>
      <c r="D34" s="19">
        <v>3</v>
      </c>
      <c r="E34" s="19">
        <v>0</v>
      </c>
      <c r="F34" s="77">
        <f t="shared" si="0"/>
        <v>3</v>
      </c>
    </row>
    <row r="35" ht="21" spans="1:6">
      <c r="A35" s="19">
        <v>30</v>
      </c>
      <c r="B35" s="61" t="s">
        <v>528</v>
      </c>
      <c r="C35" s="19"/>
      <c r="D35" s="19">
        <v>1</v>
      </c>
      <c r="E35" s="19">
        <v>0</v>
      </c>
      <c r="F35" s="77">
        <f t="shared" si="0"/>
        <v>1</v>
      </c>
    </row>
    <row r="36" ht="21" spans="1:6">
      <c r="A36" s="19">
        <v>31</v>
      </c>
      <c r="B36" s="61" t="s">
        <v>529</v>
      </c>
      <c r="C36" s="19"/>
      <c r="D36" s="19">
        <v>1</v>
      </c>
      <c r="E36" s="19">
        <v>0</v>
      </c>
      <c r="F36" s="77">
        <f t="shared" si="0"/>
        <v>1</v>
      </c>
    </row>
    <row r="37" ht="21" spans="1:6">
      <c r="A37" s="19">
        <v>32</v>
      </c>
      <c r="B37" s="61" t="s">
        <v>530</v>
      </c>
      <c r="C37" s="19"/>
      <c r="D37" s="19">
        <v>1</v>
      </c>
      <c r="E37" s="19">
        <v>0</v>
      </c>
      <c r="F37" s="77">
        <f t="shared" si="0"/>
        <v>1</v>
      </c>
    </row>
    <row r="38" ht="21" spans="1:6">
      <c r="A38" s="19">
        <v>33</v>
      </c>
      <c r="B38" s="61" t="s">
        <v>531</v>
      </c>
      <c r="C38" s="19"/>
      <c r="D38" s="19">
        <v>1</v>
      </c>
      <c r="E38" s="19">
        <v>0</v>
      </c>
      <c r="F38" s="77">
        <f t="shared" si="0"/>
        <v>1</v>
      </c>
    </row>
    <row r="39" ht="21" spans="1:6">
      <c r="A39" s="19">
        <v>34</v>
      </c>
      <c r="B39" s="78" t="s">
        <v>532</v>
      </c>
      <c r="C39" s="19"/>
      <c r="D39" s="19"/>
      <c r="E39" s="19"/>
      <c r="F39" s="77">
        <f t="shared" si="0"/>
        <v>0</v>
      </c>
    </row>
    <row r="40" ht="21" spans="1:6">
      <c r="A40" s="19">
        <v>35</v>
      </c>
      <c r="B40" s="61" t="s">
        <v>533</v>
      </c>
      <c r="C40" s="19"/>
      <c r="D40" s="19">
        <v>2</v>
      </c>
      <c r="E40" s="19">
        <v>0</v>
      </c>
      <c r="F40" s="77">
        <f t="shared" si="0"/>
        <v>2</v>
      </c>
    </row>
    <row r="41" ht="21" spans="1:6">
      <c r="A41" s="19">
        <v>36</v>
      </c>
      <c r="B41" s="61" t="s">
        <v>534</v>
      </c>
      <c r="C41" s="19"/>
      <c r="D41" s="19">
        <v>3</v>
      </c>
      <c r="E41" s="19">
        <v>0</v>
      </c>
      <c r="F41" s="77">
        <f t="shared" si="0"/>
        <v>3</v>
      </c>
    </row>
    <row r="42" ht="21" spans="1:6">
      <c r="A42" s="19">
        <v>37</v>
      </c>
      <c r="B42" s="61" t="s">
        <v>535</v>
      </c>
      <c r="C42" s="19"/>
      <c r="D42" s="19">
        <v>2</v>
      </c>
      <c r="E42" s="19">
        <v>0</v>
      </c>
      <c r="F42" s="77">
        <f t="shared" si="0"/>
        <v>2</v>
      </c>
    </row>
    <row r="43" ht="21" spans="1:6">
      <c r="A43" s="19">
        <v>38</v>
      </c>
      <c r="B43" s="61" t="s">
        <v>536</v>
      </c>
      <c r="C43" s="19"/>
      <c r="D43" s="19">
        <v>1</v>
      </c>
      <c r="E43" s="19">
        <v>0</v>
      </c>
      <c r="F43" s="77">
        <f t="shared" si="0"/>
        <v>1</v>
      </c>
    </row>
    <row r="44" ht="21" spans="1:6">
      <c r="A44" s="19">
        <v>39</v>
      </c>
      <c r="B44" s="16" t="s">
        <v>537</v>
      </c>
      <c r="C44" s="16"/>
      <c r="D44" s="16">
        <v>79</v>
      </c>
      <c r="E44" s="16">
        <v>8</v>
      </c>
      <c r="F44" s="77">
        <f t="shared" si="0"/>
        <v>71</v>
      </c>
    </row>
    <row r="45" ht="21" spans="1:6">
      <c r="A45" s="19">
        <v>40</v>
      </c>
      <c r="B45" s="19"/>
      <c r="C45" s="19"/>
      <c r="D45" s="19"/>
      <c r="E45" s="19"/>
      <c r="F45" s="77">
        <f t="shared" si="0"/>
        <v>0</v>
      </c>
    </row>
    <row r="46" ht="21" spans="1:6">
      <c r="A46" s="19">
        <v>41</v>
      </c>
      <c r="B46" s="19"/>
      <c r="C46" s="19"/>
      <c r="D46" s="19"/>
      <c r="E46" s="19"/>
      <c r="F46" s="77"/>
    </row>
    <row r="47" ht="21" spans="1:6">
      <c r="A47" s="19">
        <v>42</v>
      </c>
      <c r="B47" s="19"/>
      <c r="C47" s="19"/>
      <c r="D47" s="19"/>
      <c r="E47" s="19"/>
      <c r="F47" s="16"/>
    </row>
    <row r="48" ht="21" spans="1:6">
      <c r="A48" s="79">
        <v>43</v>
      </c>
      <c r="B48" s="80"/>
      <c r="C48" s="80"/>
      <c r="D48" s="81"/>
      <c r="E48" s="81"/>
      <c r="F48" s="81"/>
    </row>
    <row r="49" ht="21" spans="1:6">
      <c r="A49" s="79">
        <v>44</v>
      </c>
      <c r="B49" s="80"/>
      <c r="C49" s="80"/>
      <c r="D49" s="81"/>
      <c r="E49" s="81"/>
      <c r="F49" s="81"/>
    </row>
    <row r="50" ht="21" spans="1:6">
      <c r="A50" s="79">
        <v>45</v>
      </c>
      <c r="B50" s="80"/>
      <c r="C50" s="80"/>
      <c r="D50" s="81"/>
      <c r="E50" s="81"/>
      <c r="F50" s="81"/>
    </row>
    <row r="51" ht="21" spans="1:6">
      <c r="A51" s="79">
        <v>46</v>
      </c>
      <c r="B51" s="80"/>
      <c r="C51" s="80"/>
      <c r="D51" s="81"/>
      <c r="E51" s="81"/>
      <c r="F51" s="81"/>
    </row>
    <row r="52" ht="21" spans="1:6">
      <c r="A52" s="79">
        <v>47</v>
      </c>
      <c r="B52" s="80"/>
      <c r="C52" s="80"/>
      <c r="D52" s="80"/>
      <c r="E52" s="80"/>
      <c r="F52" s="80"/>
    </row>
    <row r="53" ht="21" spans="1:6">
      <c r="A53" s="79"/>
      <c r="B53" s="80"/>
      <c r="C53" s="80"/>
      <c r="D53" s="80"/>
      <c r="E53" s="80"/>
      <c r="F53" s="80"/>
    </row>
    <row r="54" ht="21" spans="1:6">
      <c r="A54" s="82"/>
      <c r="B54" s="83"/>
      <c r="C54" s="83"/>
      <c r="D54" s="83"/>
      <c r="E54" s="83"/>
      <c r="F54" s="83"/>
    </row>
    <row r="55" spans="1:6">
      <c r="A55" s="84" t="s">
        <v>538</v>
      </c>
      <c r="B55" s="84"/>
      <c r="C55" s="84"/>
      <c r="D55" s="84"/>
      <c r="E55" s="84"/>
      <c r="F55" s="84"/>
    </row>
    <row r="56" spans="1:6">
      <c r="A56" s="84"/>
      <c r="B56" s="84"/>
      <c r="C56" s="84"/>
      <c r="D56" s="84"/>
      <c r="E56" s="84"/>
      <c r="F56" s="84"/>
    </row>
    <row r="57" spans="1:6">
      <c r="A57" s="84"/>
      <c r="B57" s="84"/>
      <c r="C57" s="84"/>
      <c r="D57" s="84"/>
      <c r="E57" s="84"/>
      <c r="F57" s="84"/>
    </row>
    <row r="58" spans="1:6">
      <c r="A58" s="84"/>
      <c r="B58" s="84"/>
      <c r="C58" s="84"/>
      <c r="D58" s="84"/>
      <c r="E58" s="84"/>
      <c r="F58" s="84"/>
    </row>
    <row r="59" ht="63" spans="1:6">
      <c r="A59" s="85" t="s">
        <v>70</v>
      </c>
      <c r="B59" s="86" t="s">
        <v>492</v>
      </c>
      <c r="C59" s="86" t="s">
        <v>493</v>
      </c>
      <c r="D59" s="86" t="s">
        <v>73</v>
      </c>
      <c r="E59" s="86" t="s">
        <v>74</v>
      </c>
      <c r="F59" s="86" t="s">
        <v>160</v>
      </c>
    </row>
    <row r="60" ht="21" spans="1:6">
      <c r="A60" s="19">
        <v>1</v>
      </c>
      <c r="B60" s="19" t="s">
        <v>539</v>
      </c>
      <c r="C60" s="19" t="s">
        <v>540</v>
      </c>
      <c r="D60" s="19">
        <v>1</v>
      </c>
      <c r="E60" s="19">
        <v>0</v>
      </c>
      <c r="F60" s="87">
        <f>D60-E60</f>
        <v>1</v>
      </c>
    </row>
    <row r="61" ht="21" spans="1:6">
      <c r="A61" s="19">
        <v>2</v>
      </c>
      <c r="B61" s="19" t="s">
        <v>541</v>
      </c>
      <c r="C61" s="19"/>
      <c r="D61" s="19">
        <v>1</v>
      </c>
      <c r="E61" s="19">
        <v>0</v>
      </c>
      <c r="F61" s="87">
        <f t="shared" ref="F61:F82" si="1">D61-E61</f>
        <v>1</v>
      </c>
    </row>
    <row r="62" ht="21" spans="1:6">
      <c r="A62" s="19">
        <v>3</v>
      </c>
      <c r="B62" s="19" t="s">
        <v>542</v>
      </c>
      <c r="C62" s="19" t="s">
        <v>543</v>
      </c>
      <c r="D62" s="19">
        <v>2</v>
      </c>
      <c r="E62" s="19">
        <v>0</v>
      </c>
      <c r="F62" s="87">
        <f t="shared" si="1"/>
        <v>2</v>
      </c>
    </row>
    <row r="63" ht="21" spans="1:6">
      <c r="A63" s="19">
        <v>4</v>
      </c>
      <c r="B63" s="19" t="s">
        <v>544</v>
      </c>
      <c r="C63" s="19" t="s">
        <v>545</v>
      </c>
      <c r="D63" s="19">
        <v>1</v>
      </c>
      <c r="E63" s="19">
        <v>0</v>
      </c>
      <c r="F63" s="87">
        <f t="shared" si="1"/>
        <v>1</v>
      </c>
    </row>
    <row r="64" ht="21" spans="1:6">
      <c r="A64" s="19">
        <v>5</v>
      </c>
      <c r="B64" s="19" t="s">
        <v>546</v>
      </c>
      <c r="C64" s="19" t="s">
        <v>547</v>
      </c>
      <c r="D64" s="19">
        <v>1</v>
      </c>
      <c r="E64" s="19">
        <v>0</v>
      </c>
      <c r="F64" s="87">
        <f t="shared" si="1"/>
        <v>1</v>
      </c>
    </row>
    <row r="65" ht="21" spans="1:6">
      <c r="A65" s="19">
        <v>6</v>
      </c>
      <c r="B65" s="19" t="s">
        <v>548</v>
      </c>
      <c r="C65" s="19" t="s">
        <v>549</v>
      </c>
      <c r="D65" s="19">
        <v>1</v>
      </c>
      <c r="E65" s="19">
        <v>0</v>
      </c>
      <c r="F65" s="87">
        <f t="shared" si="1"/>
        <v>1</v>
      </c>
    </row>
    <row r="66" ht="21" spans="1:6">
      <c r="A66" s="19">
        <v>7</v>
      </c>
      <c r="B66" s="19" t="s">
        <v>550</v>
      </c>
      <c r="C66" s="19"/>
      <c r="D66" s="19">
        <v>2</v>
      </c>
      <c r="E66" s="19">
        <v>0</v>
      </c>
      <c r="F66" s="87">
        <f t="shared" si="1"/>
        <v>2</v>
      </c>
    </row>
    <row r="67" ht="21" spans="1:6">
      <c r="A67" s="19">
        <v>8</v>
      </c>
      <c r="B67" s="19" t="s">
        <v>551</v>
      </c>
      <c r="C67" s="19"/>
      <c r="D67" s="19">
        <v>2</v>
      </c>
      <c r="E67" s="19">
        <v>0</v>
      </c>
      <c r="F67" s="87">
        <f t="shared" si="1"/>
        <v>2</v>
      </c>
    </row>
    <row r="68" ht="21" spans="1:6">
      <c r="A68" s="19">
        <v>9</v>
      </c>
      <c r="B68" s="19" t="s">
        <v>552</v>
      </c>
      <c r="C68" s="19" t="s">
        <v>553</v>
      </c>
      <c r="D68" s="19">
        <v>1</v>
      </c>
      <c r="E68" s="19">
        <v>0</v>
      </c>
      <c r="F68" s="87">
        <f t="shared" si="1"/>
        <v>1</v>
      </c>
    </row>
    <row r="69" ht="21" spans="1:6">
      <c r="A69" s="19">
        <v>10</v>
      </c>
      <c r="B69" s="19" t="s">
        <v>554</v>
      </c>
      <c r="C69" s="19" t="s">
        <v>555</v>
      </c>
      <c r="D69" s="19">
        <v>2</v>
      </c>
      <c r="E69" s="19">
        <v>0</v>
      </c>
      <c r="F69" s="87">
        <f t="shared" si="1"/>
        <v>2</v>
      </c>
    </row>
    <row r="70" ht="21" spans="1:6">
      <c r="A70" s="19">
        <v>11</v>
      </c>
      <c r="B70" s="19" t="s">
        <v>556</v>
      </c>
      <c r="C70" s="19" t="s">
        <v>557</v>
      </c>
      <c r="D70" s="19">
        <v>1</v>
      </c>
      <c r="E70" s="19">
        <v>0</v>
      </c>
      <c r="F70" s="87">
        <f t="shared" si="1"/>
        <v>1</v>
      </c>
    </row>
    <row r="71" ht="21" spans="1:6">
      <c r="A71" s="19">
        <v>12</v>
      </c>
      <c r="B71" s="19" t="s">
        <v>558</v>
      </c>
      <c r="C71" s="19"/>
      <c r="D71" s="19">
        <v>2</v>
      </c>
      <c r="E71" s="19">
        <v>0</v>
      </c>
      <c r="F71" s="87">
        <f t="shared" si="1"/>
        <v>2</v>
      </c>
    </row>
    <row r="72" ht="21" spans="1:6">
      <c r="A72" s="19">
        <v>13</v>
      </c>
      <c r="B72" s="19" t="s">
        <v>559</v>
      </c>
      <c r="C72" s="19"/>
      <c r="D72" s="19">
        <v>4</v>
      </c>
      <c r="E72" s="19">
        <v>0</v>
      </c>
      <c r="F72" s="87">
        <f t="shared" si="1"/>
        <v>4</v>
      </c>
    </row>
    <row r="73" ht="21" spans="1:6">
      <c r="A73" s="19">
        <v>14</v>
      </c>
      <c r="B73" s="16" t="s">
        <v>560</v>
      </c>
      <c r="C73" s="16"/>
      <c r="D73" s="16">
        <v>131</v>
      </c>
      <c r="E73" s="16">
        <v>22</v>
      </c>
      <c r="F73" s="87">
        <f t="shared" si="1"/>
        <v>109</v>
      </c>
    </row>
    <row r="74" ht="21" spans="1:6">
      <c r="A74" s="19">
        <v>15</v>
      </c>
      <c r="B74" s="19" t="s">
        <v>367</v>
      </c>
      <c r="C74" s="19"/>
      <c r="D74" s="19">
        <v>13</v>
      </c>
      <c r="E74" s="19">
        <v>4</v>
      </c>
      <c r="F74" s="87">
        <f t="shared" si="1"/>
        <v>9</v>
      </c>
    </row>
    <row r="75" ht="21" spans="1:6">
      <c r="A75" s="19">
        <v>16</v>
      </c>
      <c r="B75" s="88" t="s">
        <v>532</v>
      </c>
      <c r="C75" s="19"/>
      <c r="D75" s="19"/>
      <c r="E75" s="19">
        <v>0</v>
      </c>
      <c r="F75" s="87">
        <f t="shared" si="1"/>
        <v>0</v>
      </c>
    </row>
    <row r="76" ht="21" spans="1:6">
      <c r="A76" s="19">
        <v>17</v>
      </c>
      <c r="B76" s="19" t="s">
        <v>561</v>
      </c>
      <c r="C76" s="19"/>
      <c r="D76" s="19">
        <v>3</v>
      </c>
      <c r="E76" s="19">
        <v>1</v>
      </c>
      <c r="F76" s="87">
        <f t="shared" si="1"/>
        <v>2</v>
      </c>
    </row>
    <row r="77" ht="21" spans="1:6">
      <c r="A77" s="19">
        <v>18</v>
      </c>
      <c r="B77" s="19" t="s">
        <v>562</v>
      </c>
      <c r="C77" s="19"/>
      <c r="D77" s="19">
        <v>1</v>
      </c>
      <c r="E77" s="19">
        <v>0</v>
      </c>
      <c r="F77" s="87">
        <f t="shared" si="1"/>
        <v>1</v>
      </c>
    </row>
    <row r="78" ht="21" spans="1:6">
      <c r="A78" s="19">
        <v>19</v>
      </c>
      <c r="B78" s="19" t="s">
        <v>563</v>
      </c>
      <c r="C78" s="19"/>
      <c r="D78" s="19">
        <v>1</v>
      </c>
      <c r="E78" s="19">
        <v>0</v>
      </c>
      <c r="F78" s="87">
        <f t="shared" si="1"/>
        <v>1</v>
      </c>
    </row>
    <row r="79" ht="21" spans="1:6">
      <c r="A79" s="19">
        <v>20</v>
      </c>
      <c r="B79" s="19" t="s">
        <v>564</v>
      </c>
      <c r="C79" s="19"/>
      <c r="D79" s="19">
        <v>1</v>
      </c>
      <c r="E79" s="19">
        <v>0</v>
      </c>
      <c r="F79" s="87">
        <f t="shared" si="1"/>
        <v>1</v>
      </c>
    </row>
    <row r="80" ht="21" spans="1:6">
      <c r="A80" s="19">
        <v>21</v>
      </c>
      <c r="B80" s="19" t="s">
        <v>534</v>
      </c>
      <c r="C80" s="19"/>
      <c r="D80" s="19">
        <v>1</v>
      </c>
      <c r="E80" s="19">
        <v>0</v>
      </c>
      <c r="F80" s="87">
        <f t="shared" si="1"/>
        <v>1</v>
      </c>
    </row>
    <row r="81" ht="21" spans="1:6">
      <c r="A81" s="19">
        <v>22</v>
      </c>
      <c r="B81" s="19"/>
      <c r="C81" s="19"/>
      <c r="D81" s="19"/>
      <c r="E81" s="19">
        <v>0</v>
      </c>
      <c r="F81" s="87">
        <f t="shared" si="1"/>
        <v>0</v>
      </c>
    </row>
    <row r="82" ht="21" spans="1:6">
      <c r="A82" s="19">
        <v>23</v>
      </c>
      <c r="B82" s="19"/>
      <c r="C82" s="19"/>
      <c r="D82" s="19"/>
      <c r="E82" s="19">
        <v>0</v>
      </c>
      <c r="F82" s="87">
        <f t="shared" si="1"/>
        <v>0</v>
      </c>
    </row>
    <row r="83" ht="21" spans="1:6">
      <c r="A83" s="19">
        <v>24</v>
      </c>
      <c r="B83" s="19"/>
      <c r="C83" s="19"/>
      <c r="D83" s="19"/>
      <c r="E83" s="19">
        <v>0</v>
      </c>
      <c r="F83" s="89"/>
    </row>
    <row r="84" ht="21" spans="1:6">
      <c r="A84" s="19">
        <v>25</v>
      </c>
      <c r="B84" s="19"/>
      <c r="C84" s="19"/>
      <c r="D84" s="19"/>
      <c r="E84" s="19"/>
      <c r="F84" s="19"/>
    </row>
  </sheetData>
  <mergeCells count="2">
    <mergeCell ref="A1:F4"/>
    <mergeCell ref="A55:F58"/>
  </mergeCell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10" sqref="E10"/>
    </sheetView>
  </sheetViews>
  <sheetFormatPr defaultColWidth="9.14285714285714" defaultRowHeight="15" outlineLevelCol="5"/>
  <cols>
    <col min="1" max="1" width="3.85714285714286" customWidth="1"/>
    <col min="2" max="2" width="25.4285714285714" customWidth="1"/>
    <col min="3" max="3" width="31.4285714285714" customWidth="1"/>
    <col min="6" max="6" width="15" customWidth="1"/>
  </cols>
  <sheetData>
    <row r="1" spans="1:6">
      <c r="A1" s="67" t="s">
        <v>565</v>
      </c>
      <c r="B1" s="68"/>
      <c r="C1" s="68"/>
      <c r="D1" s="68"/>
      <c r="E1" s="68"/>
      <c r="F1" s="69"/>
    </row>
    <row r="2" spans="1:6">
      <c r="A2" s="70"/>
      <c r="B2" s="71"/>
      <c r="C2" s="71"/>
      <c r="D2" s="71"/>
      <c r="E2" s="71"/>
      <c r="F2" s="72"/>
    </row>
    <row r="3" spans="1:6">
      <c r="A3" s="70"/>
      <c r="B3" s="71"/>
      <c r="C3" s="71"/>
      <c r="D3" s="71"/>
      <c r="E3" s="71"/>
      <c r="F3" s="72"/>
    </row>
    <row r="4" spans="1:6">
      <c r="A4" s="70"/>
      <c r="B4" s="71"/>
      <c r="C4" s="71"/>
      <c r="D4" s="71"/>
      <c r="E4" s="71"/>
      <c r="F4" s="72"/>
    </row>
    <row r="5" ht="30" spans="1:6">
      <c r="A5" s="73" t="s">
        <v>70</v>
      </c>
      <c r="B5" s="74" t="s">
        <v>566</v>
      </c>
      <c r="C5" s="74" t="s">
        <v>286</v>
      </c>
      <c r="D5" s="74" t="s">
        <v>73</v>
      </c>
      <c r="E5" s="74" t="s">
        <v>74</v>
      </c>
      <c r="F5" s="75" t="s">
        <v>567</v>
      </c>
    </row>
    <row r="6" ht="23.25" spans="1:6">
      <c r="A6" s="11">
        <v>1</v>
      </c>
      <c r="B6" s="24" t="s">
        <v>568</v>
      </c>
      <c r="C6" s="24" t="s">
        <v>569</v>
      </c>
      <c r="D6" s="9">
        <v>17</v>
      </c>
      <c r="E6" s="9">
        <v>0</v>
      </c>
      <c r="F6" s="9">
        <f>D6-E6</f>
        <v>17</v>
      </c>
    </row>
    <row r="7" ht="23.25" spans="1:6">
      <c r="A7" s="11">
        <v>2</v>
      </c>
      <c r="B7" s="24" t="s">
        <v>570</v>
      </c>
      <c r="C7" s="24" t="s">
        <v>569</v>
      </c>
      <c r="D7" s="9">
        <v>18</v>
      </c>
      <c r="E7" s="9">
        <v>0</v>
      </c>
      <c r="F7" s="9">
        <f t="shared" ref="F7:F18" si="0">D7-E7</f>
        <v>18</v>
      </c>
    </row>
    <row r="8" ht="23.25" spans="1:6">
      <c r="A8" s="11">
        <v>3</v>
      </c>
      <c r="B8" s="24" t="s">
        <v>571</v>
      </c>
      <c r="C8" s="24" t="s">
        <v>569</v>
      </c>
      <c r="D8" s="9">
        <v>18</v>
      </c>
      <c r="E8" s="9">
        <v>0</v>
      </c>
      <c r="F8" s="9">
        <f t="shared" si="0"/>
        <v>18</v>
      </c>
    </row>
    <row r="9" ht="23.25" spans="1:6">
      <c r="A9" s="11">
        <v>4</v>
      </c>
      <c r="B9" s="24" t="s">
        <v>572</v>
      </c>
      <c r="C9" s="24" t="s">
        <v>569</v>
      </c>
      <c r="D9" s="9">
        <v>18</v>
      </c>
      <c r="E9" s="9">
        <v>16</v>
      </c>
      <c r="F9" s="9">
        <f t="shared" si="0"/>
        <v>2</v>
      </c>
    </row>
    <row r="10" ht="23.25" spans="1:6">
      <c r="A10" s="11">
        <v>5</v>
      </c>
      <c r="B10" s="24" t="s">
        <v>573</v>
      </c>
      <c r="C10" s="24" t="s">
        <v>569</v>
      </c>
      <c r="D10" s="9">
        <v>29</v>
      </c>
      <c r="E10" s="9">
        <v>11</v>
      </c>
      <c r="F10" s="9">
        <f t="shared" si="0"/>
        <v>18</v>
      </c>
    </row>
    <row r="11" ht="23.25" spans="1:6">
      <c r="A11" s="11">
        <v>6</v>
      </c>
      <c r="B11" s="24" t="s">
        <v>574</v>
      </c>
      <c r="C11" s="24" t="s">
        <v>569</v>
      </c>
      <c r="D11" s="9">
        <v>18</v>
      </c>
      <c r="E11" s="9">
        <v>0</v>
      </c>
      <c r="F11" s="9">
        <f t="shared" si="0"/>
        <v>18</v>
      </c>
    </row>
    <row r="12" ht="23.25" spans="1:6">
      <c r="A12" s="11">
        <v>7</v>
      </c>
      <c r="B12" s="24" t="s">
        <v>575</v>
      </c>
      <c r="C12" s="24" t="s">
        <v>569</v>
      </c>
      <c r="D12" s="9">
        <v>16</v>
      </c>
      <c r="E12" s="9">
        <v>0</v>
      </c>
      <c r="F12" s="9">
        <f t="shared" si="0"/>
        <v>16</v>
      </c>
    </row>
    <row r="13" ht="23.25" spans="1:6">
      <c r="A13" s="11">
        <v>8</v>
      </c>
      <c r="B13" s="24" t="s">
        <v>576</v>
      </c>
      <c r="C13" s="24" t="s">
        <v>569</v>
      </c>
      <c r="D13" s="9">
        <v>17</v>
      </c>
      <c r="E13" s="9">
        <v>0</v>
      </c>
      <c r="F13" s="9">
        <f t="shared" si="0"/>
        <v>17</v>
      </c>
    </row>
    <row r="14" ht="23.25" spans="1:6">
      <c r="A14" s="11">
        <v>9</v>
      </c>
      <c r="B14" s="24" t="s">
        <v>577</v>
      </c>
      <c r="C14" s="24" t="s">
        <v>569</v>
      </c>
      <c r="D14" s="9">
        <v>18</v>
      </c>
      <c r="E14" s="9">
        <v>0</v>
      </c>
      <c r="F14" s="9">
        <f t="shared" si="0"/>
        <v>18</v>
      </c>
    </row>
    <row r="15" ht="23.25" spans="1:6">
      <c r="A15" s="11">
        <v>10</v>
      </c>
      <c r="B15" s="24" t="s">
        <v>578</v>
      </c>
      <c r="C15" s="24" t="s">
        <v>569</v>
      </c>
      <c r="D15" s="9">
        <v>4</v>
      </c>
      <c r="E15" s="9">
        <v>0</v>
      </c>
      <c r="F15" s="9">
        <f t="shared" si="0"/>
        <v>4</v>
      </c>
    </row>
    <row r="16" ht="23.25" spans="1:6">
      <c r="A16" s="11">
        <v>11</v>
      </c>
      <c r="B16" s="24" t="s">
        <v>579</v>
      </c>
      <c r="C16" s="24" t="s">
        <v>580</v>
      </c>
      <c r="D16" s="9">
        <v>1</v>
      </c>
      <c r="E16" s="9">
        <v>0</v>
      </c>
      <c r="F16" s="9">
        <f t="shared" si="0"/>
        <v>1</v>
      </c>
    </row>
    <row r="17" ht="23.25" spans="1:6">
      <c r="A17" s="11">
        <v>12</v>
      </c>
      <c r="B17" s="24" t="s">
        <v>581</v>
      </c>
      <c r="C17" s="24"/>
      <c r="D17" s="9">
        <v>25</v>
      </c>
      <c r="E17" s="9">
        <v>1</v>
      </c>
      <c r="F17" s="9">
        <f t="shared" si="0"/>
        <v>24</v>
      </c>
    </row>
    <row r="18" ht="23.25" spans="1:6">
      <c r="A18" s="11">
        <v>13</v>
      </c>
      <c r="B18" s="24" t="s">
        <v>582</v>
      </c>
      <c r="C18" s="24"/>
      <c r="D18" s="9">
        <v>780</v>
      </c>
      <c r="E18" s="9">
        <v>0</v>
      </c>
      <c r="F18" s="9">
        <f t="shared" si="0"/>
        <v>780</v>
      </c>
    </row>
    <row r="19" spans="1:6">
      <c r="A19" s="11">
        <v>16</v>
      </c>
      <c r="B19" s="11"/>
      <c r="C19" s="11"/>
      <c r="D19" s="11"/>
      <c r="E19" s="11"/>
      <c r="F19" s="11"/>
    </row>
    <row r="20" spans="1:6">
      <c r="A20" s="11">
        <v>17</v>
      </c>
      <c r="B20" s="11"/>
      <c r="C20" s="11"/>
      <c r="D20" s="11"/>
      <c r="E20" s="11"/>
      <c r="F20" s="11"/>
    </row>
    <row r="21" spans="1:6">
      <c r="A21" s="11"/>
      <c r="B21" s="11"/>
      <c r="C21" s="11"/>
      <c r="D21" s="11"/>
      <c r="E21" s="11"/>
      <c r="F21" s="11"/>
    </row>
  </sheetData>
  <mergeCells count="1">
    <mergeCell ref="A1:F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"/>
  <sheetViews>
    <sheetView tabSelected="1" zoomScale="130" zoomScaleNormal="130" topLeftCell="A6" workbookViewId="0">
      <selection activeCell="E19" sqref="E19"/>
    </sheetView>
  </sheetViews>
  <sheetFormatPr defaultColWidth="9.14285714285714" defaultRowHeight="15"/>
  <cols>
    <col min="1" max="1" width="4" customWidth="1"/>
    <col min="2" max="2" width="51.5714285714286" customWidth="1"/>
    <col min="3" max="3" width="30.7142857142857" customWidth="1"/>
    <col min="4" max="4" width="17.2857142857143" customWidth="1"/>
    <col min="5" max="5" width="11.4285714285714" customWidth="1"/>
    <col min="6" max="6" width="16.2857142857143" customWidth="1"/>
  </cols>
  <sheetData>
    <row r="1" spans="1:6">
      <c r="A1" s="46" t="s">
        <v>583</v>
      </c>
      <c r="B1" s="47"/>
      <c r="C1" s="47"/>
      <c r="D1" s="47"/>
      <c r="E1" s="47"/>
      <c r="F1" s="48"/>
    </row>
    <row r="2" spans="1:6">
      <c r="A2" s="49"/>
      <c r="B2" s="50"/>
      <c r="C2" s="50"/>
      <c r="D2" s="50"/>
      <c r="E2" s="50"/>
      <c r="F2" s="51"/>
    </row>
    <row r="3" spans="1:6">
      <c r="A3" s="52"/>
      <c r="B3" s="53"/>
      <c r="C3" s="53"/>
      <c r="D3" s="53"/>
      <c r="E3" s="53"/>
      <c r="F3" s="54"/>
    </row>
    <row r="4" ht="30" spans="1:6">
      <c r="A4" s="42" t="s">
        <v>70</v>
      </c>
      <c r="B4" s="43" t="s">
        <v>392</v>
      </c>
      <c r="C4" s="43" t="s">
        <v>493</v>
      </c>
      <c r="D4" s="43" t="s">
        <v>73</v>
      </c>
      <c r="E4" s="43" t="s">
        <v>74</v>
      </c>
      <c r="F4" s="43" t="s">
        <v>567</v>
      </c>
    </row>
    <row r="5" ht="18.75" spans="1:6">
      <c r="A5" s="17">
        <v>1</v>
      </c>
      <c r="B5" s="12" t="s">
        <v>584</v>
      </c>
      <c r="C5" s="12"/>
      <c r="D5" s="17">
        <v>1</v>
      </c>
      <c r="E5" s="17">
        <v>0</v>
      </c>
      <c r="F5" s="55">
        <f>D5-E5</f>
        <v>1</v>
      </c>
    </row>
    <row r="6" ht="18.75" spans="1:6">
      <c r="A6" s="17">
        <v>2</v>
      </c>
      <c r="B6" s="12" t="s">
        <v>585</v>
      </c>
      <c r="C6" s="12"/>
      <c r="D6" s="17">
        <v>24</v>
      </c>
      <c r="E6" s="17">
        <v>0</v>
      </c>
      <c r="F6" s="55">
        <f>D6-E6</f>
        <v>24</v>
      </c>
    </row>
    <row r="7" ht="18.75" spans="1:6">
      <c r="A7" s="17">
        <v>3</v>
      </c>
      <c r="B7" s="12" t="s">
        <v>586</v>
      </c>
      <c r="C7" s="12"/>
      <c r="D7" s="17">
        <v>72</v>
      </c>
      <c r="E7" s="17">
        <v>0</v>
      </c>
      <c r="F7" s="55">
        <f t="shared" ref="F6:F26" si="0">D7-E7</f>
        <v>72</v>
      </c>
    </row>
    <row r="8" ht="18.75" spans="1:6">
      <c r="A8" s="17">
        <v>4</v>
      </c>
      <c r="B8" s="12" t="s">
        <v>587</v>
      </c>
      <c r="C8" s="12"/>
      <c r="D8" s="17">
        <v>1</v>
      </c>
      <c r="E8" s="17">
        <v>0</v>
      </c>
      <c r="F8" s="55">
        <f t="shared" si="0"/>
        <v>1</v>
      </c>
    </row>
    <row r="9" ht="18.75" spans="1:11">
      <c r="A9" s="17">
        <v>5</v>
      </c>
      <c r="B9" s="56" t="s">
        <v>588</v>
      </c>
      <c r="C9" s="12"/>
      <c r="D9" s="17"/>
      <c r="E9" s="17">
        <v>0</v>
      </c>
      <c r="F9" s="55">
        <f t="shared" si="0"/>
        <v>0</v>
      </c>
      <c r="K9" s="11"/>
    </row>
    <row r="10" ht="18.75" spans="1:6">
      <c r="A10" s="17">
        <v>6</v>
      </c>
      <c r="B10" s="12" t="s">
        <v>589</v>
      </c>
      <c r="C10" s="12"/>
      <c r="D10" s="17">
        <v>2</v>
      </c>
      <c r="E10" s="17">
        <v>0</v>
      </c>
      <c r="F10" s="55">
        <f t="shared" si="0"/>
        <v>2</v>
      </c>
    </row>
    <row r="11" ht="18.75" spans="1:6">
      <c r="A11" s="17">
        <v>7</v>
      </c>
      <c r="B11" s="12" t="s">
        <v>473</v>
      </c>
      <c r="C11" s="12"/>
      <c r="D11" s="17">
        <v>1</v>
      </c>
      <c r="E11" s="17">
        <v>0</v>
      </c>
      <c r="F11" s="55">
        <f t="shared" si="0"/>
        <v>1</v>
      </c>
    </row>
    <row r="12" ht="18.75" spans="1:6">
      <c r="A12" s="17">
        <v>8</v>
      </c>
      <c r="B12" s="12" t="s">
        <v>590</v>
      </c>
      <c r="C12" s="12"/>
      <c r="D12" s="17">
        <v>1</v>
      </c>
      <c r="E12" s="17">
        <v>0</v>
      </c>
      <c r="F12" s="55">
        <f t="shared" si="0"/>
        <v>1</v>
      </c>
    </row>
    <row r="13" ht="18.75" spans="1:6">
      <c r="A13" s="17">
        <v>9</v>
      </c>
      <c r="B13" s="12" t="s">
        <v>591</v>
      </c>
      <c r="C13" s="12"/>
      <c r="D13" s="17">
        <v>1</v>
      </c>
      <c r="E13" s="17">
        <v>0</v>
      </c>
      <c r="F13" s="55">
        <f t="shared" si="0"/>
        <v>1</v>
      </c>
    </row>
    <row r="14" ht="18.75" spans="1:6">
      <c r="A14" s="17">
        <v>10</v>
      </c>
      <c r="B14" s="12" t="s">
        <v>592</v>
      </c>
      <c r="C14" s="12" t="s">
        <v>593</v>
      </c>
      <c r="D14" s="17">
        <v>1</v>
      </c>
      <c r="E14" s="17">
        <v>0</v>
      </c>
      <c r="F14" s="55">
        <f t="shared" si="0"/>
        <v>1</v>
      </c>
    </row>
    <row r="15" ht="18.75" spans="1:6">
      <c r="A15" s="17">
        <v>11</v>
      </c>
      <c r="B15" s="12" t="s">
        <v>594</v>
      </c>
      <c r="C15" s="12" t="s">
        <v>595</v>
      </c>
      <c r="D15" s="17">
        <v>1</v>
      </c>
      <c r="E15" s="17">
        <v>0</v>
      </c>
      <c r="F15" s="55">
        <f t="shared" si="0"/>
        <v>1</v>
      </c>
    </row>
    <row r="16" ht="18.75" spans="1:6">
      <c r="A16" s="17">
        <v>12</v>
      </c>
      <c r="B16" s="56" t="s">
        <v>596</v>
      </c>
      <c r="C16" s="12"/>
      <c r="D16" s="17"/>
      <c r="E16" s="17">
        <v>0</v>
      </c>
      <c r="F16" s="55">
        <f t="shared" si="0"/>
        <v>0</v>
      </c>
    </row>
    <row r="17" ht="18.75" spans="1:6">
      <c r="A17" s="17">
        <v>13</v>
      </c>
      <c r="B17" s="12" t="s">
        <v>597</v>
      </c>
      <c r="C17" s="12"/>
      <c r="D17" s="17">
        <v>6</v>
      </c>
      <c r="E17" s="17">
        <v>0</v>
      </c>
      <c r="F17" s="55">
        <f t="shared" si="0"/>
        <v>6</v>
      </c>
    </row>
    <row r="18" ht="18.75" spans="1:6">
      <c r="A18" s="17">
        <v>14</v>
      </c>
      <c r="B18" s="12" t="s">
        <v>598</v>
      </c>
      <c r="C18" s="12"/>
      <c r="D18" s="17">
        <v>6</v>
      </c>
      <c r="E18" s="17">
        <v>3</v>
      </c>
      <c r="F18" s="55">
        <f t="shared" si="0"/>
        <v>3</v>
      </c>
    </row>
    <row r="19" ht="18.75" spans="1:6">
      <c r="A19" s="17">
        <v>15</v>
      </c>
      <c r="B19" s="12" t="s">
        <v>599</v>
      </c>
      <c r="C19" s="12"/>
      <c r="D19" s="17">
        <v>10</v>
      </c>
      <c r="E19" s="17">
        <v>0</v>
      </c>
      <c r="F19" s="55">
        <f t="shared" si="0"/>
        <v>10</v>
      </c>
    </row>
    <row r="20" ht="18.75" spans="1:6">
      <c r="A20" s="17">
        <v>16</v>
      </c>
      <c r="B20" s="12" t="s">
        <v>600</v>
      </c>
      <c r="C20" s="12" t="s">
        <v>601</v>
      </c>
      <c r="D20" s="17">
        <v>2</v>
      </c>
      <c r="E20" s="17">
        <v>0</v>
      </c>
      <c r="F20" s="55">
        <f t="shared" si="0"/>
        <v>2</v>
      </c>
    </row>
    <row r="21" ht="18.75" spans="1:6">
      <c r="A21" s="17">
        <v>17</v>
      </c>
      <c r="B21" s="12" t="s">
        <v>602</v>
      </c>
      <c r="C21" s="12"/>
      <c r="D21" s="17">
        <v>2</v>
      </c>
      <c r="E21" s="17">
        <v>0</v>
      </c>
      <c r="F21" s="55">
        <f t="shared" si="0"/>
        <v>2</v>
      </c>
    </row>
    <row r="22" ht="18.75" spans="1:6">
      <c r="A22" s="17">
        <v>18</v>
      </c>
      <c r="B22" s="12" t="s">
        <v>603</v>
      </c>
      <c r="C22" s="12" t="s">
        <v>604</v>
      </c>
      <c r="D22" s="17">
        <v>1</v>
      </c>
      <c r="E22" s="17">
        <v>0</v>
      </c>
      <c r="F22" s="55">
        <f t="shared" si="0"/>
        <v>1</v>
      </c>
    </row>
    <row r="23" ht="18.75" spans="1:6">
      <c r="A23" s="17">
        <v>19</v>
      </c>
      <c r="B23" s="12" t="s">
        <v>605</v>
      </c>
      <c r="C23" s="12" t="s">
        <v>606</v>
      </c>
      <c r="D23" s="17">
        <v>8</v>
      </c>
      <c r="E23" s="17">
        <v>0</v>
      </c>
      <c r="F23" s="55">
        <f t="shared" si="0"/>
        <v>8</v>
      </c>
    </row>
    <row r="24" ht="18.75" spans="1:6">
      <c r="A24" s="17">
        <v>20</v>
      </c>
      <c r="B24" s="12" t="s">
        <v>607</v>
      </c>
      <c r="C24" s="12"/>
      <c r="D24" s="17">
        <v>4</v>
      </c>
      <c r="E24" s="17">
        <v>0</v>
      </c>
      <c r="F24" s="55">
        <f t="shared" si="0"/>
        <v>4</v>
      </c>
    </row>
    <row r="25" ht="18.75" spans="1:6">
      <c r="A25" s="17">
        <v>21</v>
      </c>
      <c r="B25" s="12" t="s">
        <v>608</v>
      </c>
      <c r="C25" s="12"/>
      <c r="D25" s="17">
        <v>2</v>
      </c>
      <c r="E25" s="17">
        <v>0</v>
      </c>
      <c r="F25" s="55">
        <f t="shared" si="0"/>
        <v>2</v>
      </c>
    </row>
    <row r="26" ht="18.75" spans="1:6">
      <c r="A26" s="17">
        <v>22</v>
      </c>
      <c r="B26" s="12" t="s">
        <v>609</v>
      </c>
      <c r="C26" s="12"/>
      <c r="D26" s="17">
        <v>2</v>
      </c>
      <c r="E26" s="17">
        <v>0</v>
      </c>
      <c r="F26" s="55">
        <f t="shared" si="0"/>
        <v>2</v>
      </c>
    </row>
    <row r="27" ht="18.75" spans="1:6">
      <c r="A27" s="17">
        <v>23</v>
      </c>
      <c r="B27" s="12" t="s">
        <v>610</v>
      </c>
      <c r="C27" s="12"/>
      <c r="D27" s="17">
        <v>1</v>
      </c>
      <c r="E27" s="17">
        <v>0</v>
      </c>
      <c r="F27" s="55">
        <v>1</v>
      </c>
    </row>
    <row r="28" ht="18.75" spans="1:6">
      <c r="A28" s="17">
        <v>24</v>
      </c>
      <c r="B28" s="12" t="s">
        <v>611</v>
      </c>
      <c r="C28" s="12"/>
      <c r="D28" s="17">
        <v>4</v>
      </c>
      <c r="E28" s="17">
        <v>0</v>
      </c>
      <c r="F28" s="55">
        <v>4</v>
      </c>
    </row>
    <row r="29" ht="18.75" spans="1:6">
      <c r="A29" s="17">
        <v>25</v>
      </c>
      <c r="B29" s="12" t="s">
        <v>612</v>
      </c>
      <c r="C29" s="12"/>
      <c r="D29" s="17">
        <v>2</v>
      </c>
      <c r="E29" s="17">
        <v>0</v>
      </c>
      <c r="F29" s="55">
        <v>2</v>
      </c>
    </row>
    <row r="30" ht="18.75" spans="1:6">
      <c r="A30" s="17">
        <v>26</v>
      </c>
      <c r="B30" s="12" t="s">
        <v>613</v>
      </c>
      <c r="C30" s="12"/>
      <c r="D30" s="17">
        <v>1</v>
      </c>
      <c r="E30" s="17">
        <v>0</v>
      </c>
      <c r="F30" s="55">
        <v>1</v>
      </c>
    </row>
    <row r="31" ht="18.75" spans="1:6">
      <c r="A31" s="17">
        <v>27</v>
      </c>
      <c r="B31" s="12"/>
      <c r="C31" s="12"/>
      <c r="D31" s="17"/>
      <c r="E31" s="17">
        <v>0</v>
      </c>
      <c r="F31" s="55"/>
    </row>
    <row r="32" ht="18.75" spans="1:6">
      <c r="A32" s="17">
        <v>28</v>
      </c>
      <c r="B32" s="12" t="s">
        <v>614</v>
      </c>
      <c r="C32" s="12"/>
      <c r="D32" s="17">
        <v>1</v>
      </c>
      <c r="E32" s="17">
        <v>0</v>
      </c>
      <c r="F32" s="55">
        <v>1</v>
      </c>
    </row>
    <row r="33" ht="18.75" spans="1:6">
      <c r="A33" s="17">
        <v>29</v>
      </c>
      <c r="B33" s="12" t="s">
        <v>615</v>
      </c>
      <c r="C33" s="12"/>
      <c r="D33" s="17">
        <v>1</v>
      </c>
      <c r="E33" s="17">
        <v>0</v>
      </c>
      <c r="F33" s="55">
        <v>1</v>
      </c>
    </row>
    <row r="34" ht="18.75" spans="1:6">
      <c r="A34" s="17">
        <v>30</v>
      </c>
      <c r="B34" s="12" t="s">
        <v>616</v>
      </c>
      <c r="C34" s="12"/>
      <c r="D34" s="17">
        <v>1</v>
      </c>
      <c r="E34" s="17">
        <v>0</v>
      </c>
      <c r="F34" s="55">
        <v>1</v>
      </c>
    </row>
    <row r="35" ht="18.75" spans="1:6">
      <c r="A35" s="17">
        <v>31</v>
      </c>
      <c r="B35" s="12" t="s">
        <v>617</v>
      </c>
      <c r="C35" s="12"/>
      <c r="D35" s="17">
        <v>10</v>
      </c>
      <c r="E35" s="17">
        <v>0</v>
      </c>
      <c r="F35" s="55">
        <v>10</v>
      </c>
    </row>
    <row r="36" ht="18.75" spans="1:6">
      <c r="A36" s="17">
        <v>32</v>
      </c>
      <c r="B36" s="12" t="s">
        <v>618</v>
      </c>
      <c r="C36" s="12"/>
      <c r="D36" s="17">
        <v>16</v>
      </c>
      <c r="E36" s="17">
        <v>0</v>
      </c>
      <c r="F36" s="55">
        <v>16</v>
      </c>
    </row>
    <row r="37" ht="18.75" spans="1:6">
      <c r="A37" s="17">
        <v>33</v>
      </c>
      <c r="B37" s="12" t="s">
        <v>619</v>
      </c>
      <c r="C37" s="12"/>
      <c r="D37" s="17">
        <v>2</v>
      </c>
      <c r="E37" s="17">
        <v>0</v>
      </c>
      <c r="F37" s="55">
        <v>2</v>
      </c>
    </row>
    <row r="38" ht="18.75" spans="1:6">
      <c r="A38" s="17">
        <v>34</v>
      </c>
      <c r="B38" s="12" t="s">
        <v>620</v>
      </c>
      <c r="C38" s="12"/>
      <c r="D38" s="17">
        <v>8</v>
      </c>
      <c r="E38" s="17">
        <v>0</v>
      </c>
      <c r="F38" s="55">
        <v>8</v>
      </c>
    </row>
    <row r="39" ht="18.75" spans="1:6">
      <c r="A39" s="17">
        <v>35</v>
      </c>
      <c r="B39" s="12" t="s">
        <v>621</v>
      </c>
      <c r="C39" s="12"/>
      <c r="D39" s="17">
        <v>1</v>
      </c>
      <c r="E39" s="17">
        <v>0</v>
      </c>
      <c r="F39" s="55">
        <v>1</v>
      </c>
    </row>
    <row r="40" ht="18.75" spans="1:6">
      <c r="A40" s="17">
        <v>36</v>
      </c>
      <c r="B40" s="12"/>
      <c r="C40" s="12"/>
      <c r="D40" s="17"/>
      <c r="E40" s="17">
        <v>0</v>
      </c>
      <c r="F40" s="55"/>
    </row>
    <row r="41" ht="18.75" spans="1:6">
      <c r="A41" s="17">
        <v>37</v>
      </c>
      <c r="B41" s="12"/>
      <c r="C41" s="12"/>
      <c r="D41" s="17"/>
      <c r="E41" s="17">
        <v>0</v>
      </c>
      <c r="F41" s="55"/>
    </row>
    <row r="42" ht="18.75" spans="1:6">
      <c r="A42" s="17">
        <v>38</v>
      </c>
      <c r="B42" s="12"/>
      <c r="C42" s="12"/>
      <c r="D42" s="17"/>
      <c r="E42" s="17">
        <v>0</v>
      </c>
      <c r="F42" s="55"/>
    </row>
    <row r="43" ht="18.75" spans="1:6">
      <c r="A43" s="17">
        <v>39</v>
      </c>
      <c r="B43" s="12"/>
      <c r="C43" s="12"/>
      <c r="D43" s="17"/>
      <c r="E43" s="17">
        <v>0</v>
      </c>
      <c r="F43" s="55"/>
    </row>
    <row r="44" ht="15.75" spans="1:6">
      <c r="A44" s="17">
        <v>40</v>
      </c>
      <c r="B44" s="17"/>
      <c r="C44" s="17"/>
      <c r="D44" s="17"/>
      <c r="E44" s="17"/>
      <c r="F44" s="55"/>
    </row>
    <row r="45" spans="1:6">
      <c r="A45" s="57" t="s">
        <v>622</v>
      </c>
      <c r="B45" s="57"/>
      <c r="C45" s="57"/>
      <c r="D45" s="57"/>
      <c r="E45" s="57"/>
      <c r="F45" s="58"/>
    </row>
    <row r="46" spans="1:6">
      <c r="A46" s="57"/>
      <c r="B46" s="57"/>
      <c r="C46" s="57"/>
      <c r="D46" s="57"/>
      <c r="E46" s="57"/>
      <c r="F46" s="58"/>
    </row>
    <row r="47" spans="1:6">
      <c r="A47" s="57"/>
      <c r="B47" s="57"/>
      <c r="C47" s="57"/>
      <c r="D47" s="57"/>
      <c r="E47" s="57"/>
      <c r="F47" s="58"/>
    </row>
    <row r="48" ht="31.5" spans="1:6">
      <c r="A48" s="59" t="s">
        <v>70</v>
      </c>
      <c r="B48" s="60" t="s">
        <v>392</v>
      </c>
      <c r="C48" s="60" t="s">
        <v>493</v>
      </c>
      <c r="D48" s="60" t="s">
        <v>73</v>
      </c>
      <c r="E48" s="60" t="s">
        <v>74</v>
      </c>
      <c r="F48" s="60" t="s">
        <v>567</v>
      </c>
    </row>
    <row r="49" ht="21" spans="1:6">
      <c r="A49">
        <v>1</v>
      </c>
      <c r="B49" s="12" t="s">
        <v>623</v>
      </c>
      <c r="C49" s="12"/>
      <c r="D49" s="17">
        <v>17</v>
      </c>
      <c r="E49" s="17">
        <v>0</v>
      </c>
      <c r="F49" s="61">
        <f>D49-E49</f>
        <v>17</v>
      </c>
    </row>
    <row r="50" ht="21" spans="1:6">
      <c r="A50">
        <v>2</v>
      </c>
      <c r="B50" s="12" t="s">
        <v>624</v>
      </c>
      <c r="C50" s="12"/>
      <c r="D50" s="17">
        <v>1</v>
      </c>
      <c r="E50" s="17">
        <v>0</v>
      </c>
      <c r="F50" s="61">
        <f t="shared" ref="F50:F65" si="1">D50-E50</f>
        <v>1</v>
      </c>
    </row>
    <row r="51" ht="21" spans="1:6">
      <c r="A51">
        <v>3</v>
      </c>
      <c r="B51" s="12" t="s">
        <v>625</v>
      </c>
      <c r="C51" s="12" t="s">
        <v>626</v>
      </c>
      <c r="D51" s="17">
        <v>1</v>
      </c>
      <c r="E51" s="17">
        <v>0</v>
      </c>
      <c r="F51" s="61">
        <f t="shared" si="1"/>
        <v>1</v>
      </c>
    </row>
    <row r="52" ht="21" spans="1:6">
      <c r="A52">
        <v>4</v>
      </c>
      <c r="B52" s="12" t="s">
        <v>627</v>
      </c>
      <c r="C52" s="12"/>
      <c r="D52" s="17">
        <v>1</v>
      </c>
      <c r="E52" s="17">
        <v>0</v>
      </c>
      <c r="F52" s="61">
        <f t="shared" si="1"/>
        <v>1</v>
      </c>
    </row>
    <row r="53" ht="21" spans="1:6">
      <c r="A53">
        <v>5</v>
      </c>
      <c r="B53" s="12" t="s">
        <v>628</v>
      </c>
      <c r="C53" s="12" t="s">
        <v>629</v>
      </c>
      <c r="D53" s="17">
        <v>2</v>
      </c>
      <c r="E53" s="17">
        <v>0</v>
      </c>
      <c r="F53" s="61">
        <f t="shared" si="1"/>
        <v>2</v>
      </c>
    </row>
    <row r="54" ht="21" spans="1:6">
      <c r="A54">
        <v>6</v>
      </c>
      <c r="B54" s="12" t="s">
        <v>630</v>
      </c>
      <c r="C54" s="12"/>
      <c r="D54" s="17"/>
      <c r="E54" s="17">
        <v>0</v>
      </c>
      <c r="F54" s="61">
        <f t="shared" si="1"/>
        <v>0</v>
      </c>
    </row>
    <row r="55" ht="21" spans="1:6">
      <c r="A55">
        <v>7</v>
      </c>
      <c r="B55" s="12" t="s">
        <v>631</v>
      </c>
      <c r="C55" s="12"/>
      <c r="D55" s="17">
        <v>1</v>
      </c>
      <c r="E55" s="17">
        <v>0</v>
      </c>
      <c r="F55" s="61">
        <f t="shared" si="1"/>
        <v>1</v>
      </c>
    </row>
    <row r="56" ht="21" spans="1:6">
      <c r="A56">
        <v>8</v>
      </c>
      <c r="B56" s="12" t="s">
        <v>632</v>
      </c>
      <c r="C56" s="12"/>
      <c r="D56" s="17">
        <v>1</v>
      </c>
      <c r="E56" s="17">
        <v>0</v>
      </c>
      <c r="F56" s="61">
        <f t="shared" si="1"/>
        <v>1</v>
      </c>
    </row>
    <row r="57" ht="21" spans="1:6">
      <c r="A57">
        <v>9</v>
      </c>
      <c r="B57" s="12" t="s">
        <v>633</v>
      </c>
      <c r="C57" s="12" t="s">
        <v>634</v>
      </c>
      <c r="D57" s="17">
        <v>0</v>
      </c>
      <c r="E57" s="17">
        <v>0</v>
      </c>
      <c r="F57" s="61">
        <f t="shared" si="1"/>
        <v>0</v>
      </c>
    </row>
    <row r="58" ht="21" spans="1:6">
      <c r="A58">
        <v>10</v>
      </c>
      <c r="B58" s="12" t="s">
        <v>635</v>
      </c>
      <c r="C58" s="12" t="s">
        <v>636</v>
      </c>
      <c r="D58" s="17">
        <v>1</v>
      </c>
      <c r="E58" s="17">
        <v>0</v>
      </c>
      <c r="F58" s="61">
        <f t="shared" si="1"/>
        <v>1</v>
      </c>
    </row>
    <row r="59" ht="21" spans="1:6">
      <c r="A59">
        <v>11</v>
      </c>
      <c r="B59" s="12" t="s">
        <v>637</v>
      </c>
      <c r="C59" s="12"/>
      <c r="D59" s="17">
        <v>2</v>
      </c>
      <c r="E59" s="17">
        <v>1</v>
      </c>
      <c r="F59" s="61">
        <f t="shared" si="1"/>
        <v>1</v>
      </c>
    </row>
    <row r="60" ht="21" spans="1:6">
      <c r="A60">
        <v>12</v>
      </c>
      <c r="B60" s="14" t="s">
        <v>532</v>
      </c>
      <c r="C60" s="12"/>
      <c r="D60" s="17"/>
      <c r="E60" s="17">
        <v>0</v>
      </c>
      <c r="F60" s="61">
        <f t="shared" si="1"/>
        <v>0</v>
      </c>
    </row>
    <row r="61" ht="21" spans="1:6">
      <c r="A61">
        <v>13</v>
      </c>
      <c r="B61" s="14"/>
      <c r="C61" s="12"/>
      <c r="D61" s="17"/>
      <c r="E61" s="17">
        <v>0</v>
      </c>
      <c r="F61" s="61">
        <f t="shared" si="1"/>
        <v>0</v>
      </c>
    </row>
    <row r="62" ht="21" spans="1:6">
      <c r="A62">
        <v>14</v>
      </c>
      <c r="B62" s="12" t="s">
        <v>638</v>
      </c>
      <c r="C62" s="12"/>
      <c r="D62" s="17">
        <v>8</v>
      </c>
      <c r="E62" s="17">
        <v>0</v>
      </c>
      <c r="F62" s="61">
        <f t="shared" si="1"/>
        <v>8</v>
      </c>
    </row>
    <row r="63" ht="21" spans="1:6">
      <c r="A63">
        <v>15</v>
      </c>
      <c r="B63" s="12" t="s">
        <v>639</v>
      </c>
      <c r="C63" s="12"/>
      <c r="D63" s="17">
        <v>3</v>
      </c>
      <c r="E63" s="17">
        <v>0</v>
      </c>
      <c r="F63" s="61">
        <f t="shared" si="1"/>
        <v>3</v>
      </c>
    </row>
    <row r="64" ht="21" spans="1:6">
      <c r="A64">
        <v>16</v>
      </c>
      <c r="B64" s="12" t="s">
        <v>640</v>
      </c>
      <c r="C64" s="12"/>
      <c r="D64" s="17">
        <v>14</v>
      </c>
      <c r="E64" s="17">
        <v>8</v>
      </c>
      <c r="F64" s="61">
        <f t="shared" si="1"/>
        <v>6</v>
      </c>
    </row>
    <row r="65" ht="21" spans="1:6">
      <c r="A65">
        <v>17</v>
      </c>
      <c r="B65" s="12" t="s">
        <v>641</v>
      </c>
      <c r="C65" s="12"/>
      <c r="D65" s="17">
        <v>3</v>
      </c>
      <c r="E65" s="17">
        <v>0</v>
      </c>
      <c r="F65" s="61">
        <f t="shared" si="1"/>
        <v>3</v>
      </c>
    </row>
    <row r="66" ht="21" spans="1:6">
      <c r="A66">
        <v>18</v>
      </c>
      <c r="B66" s="62" t="s">
        <v>642</v>
      </c>
      <c r="C66" s="19" t="s">
        <v>643</v>
      </c>
      <c r="D66" s="19">
        <v>2</v>
      </c>
      <c r="E66" s="19">
        <v>0</v>
      </c>
      <c r="F66" s="19">
        <v>2</v>
      </c>
    </row>
    <row r="67" ht="21" spans="1:6">
      <c r="A67">
        <v>19</v>
      </c>
      <c r="B67" s="63"/>
      <c r="C67" s="64"/>
      <c r="D67" s="64"/>
      <c r="E67" s="64"/>
      <c r="F67" s="65"/>
    </row>
    <row r="68" ht="23.25" spans="1:6">
      <c r="A68">
        <v>20</v>
      </c>
      <c r="B68" s="66" t="s">
        <v>644</v>
      </c>
      <c r="C68" s="11"/>
      <c r="D68" s="9">
        <v>1</v>
      </c>
      <c r="E68" s="9">
        <v>0</v>
      </c>
      <c r="F68" s="19">
        <v>1</v>
      </c>
    </row>
    <row r="69" ht="21" spans="1:6">
      <c r="A69">
        <v>21</v>
      </c>
      <c r="B69" s="11"/>
      <c r="C69" s="11"/>
      <c r="D69" s="11"/>
      <c r="E69" s="11"/>
      <c r="F69" s="38"/>
    </row>
  </sheetData>
  <mergeCells count="3">
    <mergeCell ref="B60:B61"/>
    <mergeCell ref="A45:F47"/>
    <mergeCell ref="A1:F3"/>
  </mergeCells>
  <pageMargins left="0.75" right="0.75" top="1" bottom="1" header="0.5" footer="0.5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D15" sqref="D15"/>
    </sheetView>
  </sheetViews>
  <sheetFormatPr defaultColWidth="9.14285714285714" defaultRowHeight="15" outlineLevelCol="7"/>
  <cols>
    <col min="1" max="1" width="4.71428571428571" customWidth="1"/>
    <col min="2" max="2" width="56.2857142857143" customWidth="1"/>
    <col min="3" max="3" width="16.4285714285714" customWidth="1"/>
    <col min="6" max="6" width="11.8571428571429" customWidth="1"/>
    <col min="7" max="7" width="10.8571428571429" customWidth="1"/>
  </cols>
  <sheetData>
    <row r="1" spans="1:8">
      <c r="A1" s="41" t="s">
        <v>532</v>
      </c>
      <c r="B1" s="41"/>
      <c r="C1" s="41"/>
      <c r="D1" s="41"/>
      <c r="E1" s="41"/>
      <c r="F1" s="41"/>
      <c r="G1" s="41"/>
      <c r="H1" s="41"/>
    </row>
    <row r="2" spans="1:8">
      <c r="A2" s="41"/>
      <c r="B2" s="41"/>
      <c r="C2" s="41"/>
      <c r="D2" s="41"/>
      <c r="E2" s="41"/>
      <c r="F2" s="41"/>
      <c r="G2" s="41"/>
      <c r="H2" s="41"/>
    </row>
    <row r="3" spans="1:8">
      <c r="A3" s="41"/>
      <c r="B3" s="41"/>
      <c r="C3" s="41"/>
      <c r="D3" s="41"/>
      <c r="E3" s="41"/>
      <c r="F3" s="41"/>
      <c r="G3" s="41"/>
      <c r="H3" s="41"/>
    </row>
    <row r="4" ht="30" spans="1:8">
      <c r="A4" s="42" t="s">
        <v>70</v>
      </c>
      <c r="B4" s="43" t="s">
        <v>392</v>
      </c>
      <c r="C4" s="43" t="s">
        <v>286</v>
      </c>
      <c r="D4" s="43" t="s">
        <v>73</v>
      </c>
      <c r="E4" s="43" t="s">
        <v>74</v>
      </c>
      <c r="F4" s="43" t="s">
        <v>567</v>
      </c>
      <c r="G4" s="29"/>
      <c r="H4" s="29"/>
    </row>
    <row r="5" ht="23.25" spans="1:8">
      <c r="A5" s="17">
        <v>1</v>
      </c>
      <c r="B5" s="9" t="s">
        <v>645</v>
      </c>
      <c r="C5" s="9"/>
      <c r="D5" s="9">
        <v>1</v>
      </c>
      <c r="E5" s="9">
        <v>0</v>
      </c>
      <c r="F5" s="44">
        <f>D5-E5</f>
        <v>1</v>
      </c>
      <c r="G5" s="11"/>
      <c r="H5" s="11"/>
    </row>
    <row r="6" ht="23.25" spans="1:8">
      <c r="A6" s="17">
        <v>2</v>
      </c>
      <c r="B6" s="9" t="s">
        <v>646</v>
      </c>
      <c r="C6" s="9"/>
      <c r="D6" s="9">
        <v>1</v>
      </c>
      <c r="E6" s="9">
        <v>0</v>
      </c>
      <c r="F6" s="44">
        <f t="shared" ref="F6:F18" si="0">D6-E6</f>
        <v>1</v>
      </c>
      <c r="G6" s="11"/>
      <c r="H6" s="11"/>
    </row>
    <row r="7" ht="23.25" spans="1:8">
      <c r="A7" s="17">
        <v>3</v>
      </c>
      <c r="B7" s="9" t="s">
        <v>647</v>
      </c>
      <c r="C7" s="9"/>
      <c r="D7" s="9">
        <v>1</v>
      </c>
      <c r="E7" s="9">
        <v>0</v>
      </c>
      <c r="F7" s="44">
        <f t="shared" si="0"/>
        <v>1</v>
      </c>
      <c r="G7" s="11"/>
      <c r="H7" s="11"/>
    </row>
    <row r="8" ht="23.25" spans="1:8">
      <c r="A8" s="17">
        <v>4</v>
      </c>
      <c r="B8" s="9" t="s">
        <v>648</v>
      </c>
      <c r="C8" s="9"/>
      <c r="D8" s="9">
        <v>1</v>
      </c>
      <c r="E8" s="9">
        <v>0</v>
      </c>
      <c r="F8" s="44">
        <f t="shared" si="0"/>
        <v>1</v>
      </c>
      <c r="G8" s="11"/>
      <c r="H8" s="11"/>
    </row>
    <row r="9" ht="23.25" spans="1:8">
      <c r="A9" s="17">
        <v>5</v>
      </c>
      <c r="B9" s="9" t="s">
        <v>649</v>
      </c>
      <c r="C9" s="9"/>
      <c r="D9" s="9">
        <v>1</v>
      </c>
      <c r="E9" s="9">
        <v>0</v>
      </c>
      <c r="F9" s="44">
        <f t="shared" si="0"/>
        <v>1</v>
      </c>
      <c r="G9" s="11"/>
      <c r="H9" s="11"/>
    </row>
    <row r="10" ht="23.25" spans="1:8">
      <c r="A10" s="17">
        <v>6</v>
      </c>
      <c r="B10" s="9" t="s">
        <v>650</v>
      </c>
      <c r="C10" s="9"/>
      <c r="D10" s="9">
        <v>1</v>
      </c>
      <c r="E10" s="9">
        <v>0</v>
      </c>
      <c r="F10" s="44">
        <f t="shared" si="0"/>
        <v>1</v>
      </c>
      <c r="G10" s="11"/>
      <c r="H10" s="11"/>
    </row>
    <row r="11" ht="23.25" spans="1:8">
      <c r="A11" s="17">
        <v>7</v>
      </c>
      <c r="B11" s="9" t="s">
        <v>651</v>
      </c>
      <c r="C11" s="9"/>
      <c r="D11" s="9">
        <v>1</v>
      </c>
      <c r="E11" s="9">
        <v>0</v>
      </c>
      <c r="F11" s="44">
        <f t="shared" si="0"/>
        <v>1</v>
      </c>
      <c r="G11" s="11"/>
      <c r="H11" s="11"/>
    </row>
    <row r="12" ht="23.25" spans="1:8">
      <c r="A12" s="17">
        <v>8</v>
      </c>
      <c r="B12" s="9" t="s">
        <v>652</v>
      </c>
      <c r="C12" s="9"/>
      <c r="D12" s="9">
        <v>2</v>
      </c>
      <c r="E12" s="9">
        <v>0</v>
      </c>
      <c r="F12" s="44">
        <f t="shared" si="0"/>
        <v>2</v>
      </c>
      <c r="G12" s="11"/>
      <c r="H12" s="11"/>
    </row>
    <row r="13" ht="23.25" spans="1:8">
      <c r="A13" s="17">
        <v>9</v>
      </c>
      <c r="B13" s="9" t="s">
        <v>653</v>
      </c>
      <c r="C13" s="9"/>
      <c r="D13" s="9">
        <v>1</v>
      </c>
      <c r="E13" s="9">
        <v>0</v>
      </c>
      <c r="F13" s="44">
        <f t="shared" si="0"/>
        <v>1</v>
      </c>
      <c r="G13" s="11"/>
      <c r="H13" s="11"/>
    </row>
    <row r="14" ht="23.25" spans="1:8">
      <c r="A14" s="17">
        <v>10</v>
      </c>
      <c r="B14" s="9" t="s">
        <v>654</v>
      </c>
      <c r="C14" s="9"/>
      <c r="D14" s="9">
        <v>9</v>
      </c>
      <c r="E14" s="9">
        <v>3</v>
      </c>
      <c r="F14" s="44">
        <f t="shared" si="0"/>
        <v>6</v>
      </c>
      <c r="G14" s="11"/>
      <c r="H14" s="11"/>
    </row>
    <row r="15" ht="23.25" spans="1:8">
      <c r="A15" s="17">
        <v>11</v>
      </c>
      <c r="B15" s="45" t="s">
        <v>655</v>
      </c>
      <c r="C15" s="9"/>
      <c r="D15" s="9"/>
      <c r="E15" s="9">
        <v>0</v>
      </c>
      <c r="F15" s="44">
        <f t="shared" si="0"/>
        <v>0</v>
      </c>
      <c r="G15" s="11"/>
      <c r="H15" s="11"/>
    </row>
    <row r="16" ht="23.25" spans="1:8">
      <c r="A16" s="17">
        <v>12</v>
      </c>
      <c r="B16" s="9" t="s">
        <v>656</v>
      </c>
      <c r="C16" s="9"/>
      <c r="D16" s="9">
        <v>1</v>
      </c>
      <c r="E16" s="9">
        <v>0</v>
      </c>
      <c r="F16" s="44">
        <f t="shared" si="0"/>
        <v>1</v>
      </c>
      <c r="G16" s="11"/>
      <c r="H16" s="11"/>
    </row>
    <row r="17" ht="23.25" spans="1:8">
      <c r="A17" s="17">
        <v>13</v>
      </c>
      <c r="B17" s="9" t="s">
        <v>657</v>
      </c>
      <c r="C17" s="9"/>
      <c r="D17" s="9">
        <v>1</v>
      </c>
      <c r="E17" s="9">
        <v>0</v>
      </c>
      <c r="F17" s="44">
        <f t="shared" si="0"/>
        <v>1</v>
      </c>
      <c r="G17" s="11"/>
      <c r="H17" s="11"/>
    </row>
    <row r="18" ht="23.25" spans="1:8">
      <c r="A18" s="17">
        <v>14</v>
      </c>
      <c r="B18" s="9" t="s">
        <v>658</v>
      </c>
      <c r="C18" s="9"/>
      <c r="D18" s="9">
        <v>1</v>
      </c>
      <c r="E18" s="9">
        <v>0</v>
      </c>
      <c r="F18" s="44">
        <f t="shared" si="0"/>
        <v>1</v>
      </c>
      <c r="G18" s="11"/>
      <c r="H18" s="11"/>
    </row>
    <row r="19" ht="23.25" spans="1:8">
      <c r="A19" s="17">
        <v>15</v>
      </c>
      <c r="B19" s="9"/>
      <c r="C19" s="9"/>
      <c r="D19" s="9"/>
      <c r="E19" s="9">
        <v>0</v>
      </c>
      <c r="F19" s="44"/>
      <c r="G19" s="11"/>
      <c r="H19" s="11"/>
    </row>
    <row r="20" ht="23.25" spans="1:8">
      <c r="A20" s="11"/>
      <c r="B20" s="24"/>
      <c r="C20" s="24"/>
      <c r="D20" s="24"/>
      <c r="E20" s="24"/>
      <c r="F20" s="24"/>
      <c r="G20" s="11"/>
      <c r="H20" s="11"/>
    </row>
    <row r="21" ht="23.25" spans="1:8">
      <c r="A21" s="11"/>
      <c r="B21" s="24"/>
      <c r="C21" s="24"/>
      <c r="D21" s="24"/>
      <c r="E21" s="24"/>
      <c r="F21" s="24"/>
      <c r="G21" s="11"/>
      <c r="H21" s="11"/>
    </row>
    <row r="22" ht="23.25" spans="1:8">
      <c r="A22" s="11"/>
      <c r="B22" s="24"/>
      <c r="C22" s="24"/>
      <c r="D22" s="24"/>
      <c r="E22" s="24"/>
      <c r="F22" s="24"/>
      <c r="G22" s="11"/>
      <c r="H22" s="11"/>
    </row>
    <row r="23" ht="23.25" spans="1:8">
      <c r="A23" s="11"/>
      <c r="B23" s="24"/>
      <c r="C23" s="24"/>
      <c r="D23" s="24"/>
      <c r="E23" s="24"/>
      <c r="F23" s="24"/>
      <c r="G23" s="11"/>
      <c r="H23" s="11"/>
    </row>
  </sheetData>
  <mergeCells count="1">
    <mergeCell ref="A1:H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topLeftCell="A41" workbookViewId="0">
      <selection activeCell="H27" sqref="H27"/>
    </sheetView>
  </sheetViews>
  <sheetFormatPr defaultColWidth="9.14285714285714" defaultRowHeight="15"/>
  <cols>
    <col min="1" max="1" width="5.28571428571429" customWidth="1"/>
    <col min="2" max="2" width="52.1428571428571" customWidth="1"/>
    <col min="3" max="3" width="29.5714285714286" customWidth="1"/>
    <col min="6" max="6" width="11.1428571428571" customWidth="1"/>
  </cols>
  <sheetData>
    <row r="1" spans="1:8">
      <c r="A1" s="33" t="s">
        <v>659</v>
      </c>
      <c r="B1" s="33"/>
      <c r="C1" s="33"/>
      <c r="D1" s="33"/>
      <c r="E1" s="33"/>
      <c r="F1" s="33"/>
      <c r="G1" s="33"/>
      <c r="H1" s="33"/>
    </row>
    <row r="2" spans="1:8">
      <c r="A2" s="33"/>
      <c r="B2" s="33"/>
      <c r="C2" s="33"/>
      <c r="D2" s="33"/>
      <c r="E2" s="33"/>
      <c r="F2" s="33"/>
      <c r="G2" s="33"/>
      <c r="H2" s="33"/>
    </row>
    <row r="3" spans="1:8">
      <c r="A3" s="33"/>
      <c r="B3" s="33"/>
      <c r="C3" s="33"/>
      <c r="D3" s="33"/>
      <c r="E3" s="33"/>
      <c r="F3" s="33"/>
      <c r="G3" s="33"/>
      <c r="H3" s="33"/>
    </row>
    <row r="4" ht="42" spans="1:6">
      <c r="A4" s="34" t="s">
        <v>70</v>
      </c>
      <c r="B4" s="35" t="s">
        <v>492</v>
      </c>
      <c r="C4" s="35" t="s">
        <v>660</v>
      </c>
      <c r="D4" s="35" t="s">
        <v>73</v>
      </c>
      <c r="E4" s="35" t="s">
        <v>74</v>
      </c>
      <c r="F4" s="35" t="s">
        <v>567</v>
      </c>
    </row>
    <row r="5" ht="21" spans="1:6">
      <c r="A5" s="36">
        <v>1</v>
      </c>
      <c r="B5" s="37" t="s">
        <v>661</v>
      </c>
      <c r="C5" s="36"/>
      <c r="D5" s="36"/>
      <c r="E5" s="36"/>
      <c r="F5" s="36"/>
    </row>
    <row r="6" ht="21" spans="1:6">
      <c r="A6" s="38">
        <v>2</v>
      </c>
      <c r="B6" s="38" t="s">
        <v>662</v>
      </c>
      <c r="C6" s="38"/>
      <c r="D6" s="38">
        <v>1</v>
      </c>
      <c r="E6" s="38">
        <v>0</v>
      </c>
      <c r="F6" s="38">
        <f>D6-E6</f>
        <v>1</v>
      </c>
    </row>
    <row r="7" ht="21" spans="1:6">
      <c r="A7" s="38">
        <v>3</v>
      </c>
      <c r="B7" s="38" t="s">
        <v>663</v>
      </c>
      <c r="C7" s="38"/>
      <c r="D7" s="38">
        <v>1</v>
      </c>
      <c r="E7" s="38">
        <v>0</v>
      </c>
      <c r="F7" s="38">
        <f t="shared" ref="F7:F32" si="0">D7-E7</f>
        <v>1</v>
      </c>
    </row>
    <row r="8" ht="21" spans="1:6">
      <c r="A8" s="38">
        <v>4</v>
      </c>
      <c r="B8" s="38" t="s">
        <v>664</v>
      </c>
      <c r="C8" s="38"/>
      <c r="D8" s="38">
        <v>1</v>
      </c>
      <c r="E8" s="38">
        <v>0</v>
      </c>
      <c r="F8" s="38">
        <f t="shared" si="0"/>
        <v>1</v>
      </c>
    </row>
    <row r="9" ht="21" spans="1:6">
      <c r="A9" s="38">
        <v>5</v>
      </c>
      <c r="B9" s="38" t="s">
        <v>665</v>
      </c>
      <c r="C9" s="38"/>
      <c r="D9" s="38">
        <v>2</v>
      </c>
      <c r="E9" s="38">
        <v>0</v>
      </c>
      <c r="F9" s="38">
        <f t="shared" si="0"/>
        <v>2</v>
      </c>
    </row>
    <row r="10" ht="21" spans="1:6">
      <c r="A10" s="38">
        <v>6</v>
      </c>
      <c r="B10" s="38" t="s">
        <v>666</v>
      </c>
      <c r="C10" s="38"/>
      <c r="D10" s="38">
        <v>1</v>
      </c>
      <c r="E10" s="38">
        <v>0</v>
      </c>
      <c r="F10" s="38">
        <f t="shared" si="0"/>
        <v>1</v>
      </c>
    </row>
    <row r="11" ht="21" spans="1:6">
      <c r="A11" s="38">
        <v>7</v>
      </c>
      <c r="B11" s="38" t="s">
        <v>667</v>
      </c>
      <c r="C11" s="38"/>
      <c r="D11" s="38">
        <v>2</v>
      </c>
      <c r="E11" s="38">
        <v>0</v>
      </c>
      <c r="F11" s="38">
        <f t="shared" si="0"/>
        <v>2</v>
      </c>
    </row>
    <row r="12" ht="21" spans="1:6">
      <c r="A12" s="39" t="s">
        <v>661</v>
      </c>
      <c r="B12" s="39"/>
      <c r="C12" s="39"/>
      <c r="D12" s="39"/>
      <c r="E12" s="39"/>
      <c r="F12" s="39"/>
    </row>
    <row r="13" ht="21" spans="1:6">
      <c r="A13" s="19">
        <v>9</v>
      </c>
      <c r="B13" s="19" t="s">
        <v>667</v>
      </c>
      <c r="C13" s="19" t="s">
        <v>668</v>
      </c>
      <c r="D13" s="19">
        <v>1</v>
      </c>
      <c r="E13" s="19">
        <v>0</v>
      </c>
      <c r="F13" s="19">
        <f t="shared" si="0"/>
        <v>1</v>
      </c>
    </row>
    <row r="14" ht="21" spans="1:6">
      <c r="A14" s="19">
        <v>10</v>
      </c>
      <c r="B14" s="19" t="s">
        <v>667</v>
      </c>
      <c r="C14" s="19" t="s">
        <v>669</v>
      </c>
      <c r="D14" s="19">
        <v>1</v>
      </c>
      <c r="E14" s="19">
        <v>0</v>
      </c>
      <c r="F14" s="19">
        <f t="shared" si="0"/>
        <v>1</v>
      </c>
    </row>
    <row r="15" ht="21" spans="1:6">
      <c r="A15" s="19">
        <v>11</v>
      </c>
      <c r="B15" s="19" t="s">
        <v>670</v>
      </c>
      <c r="C15" s="19" t="s">
        <v>671</v>
      </c>
      <c r="D15" s="19"/>
      <c r="E15" s="19">
        <v>0</v>
      </c>
      <c r="F15" s="19">
        <f t="shared" si="0"/>
        <v>0</v>
      </c>
    </row>
    <row r="16" ht="21" spans="1:6">
      <c r="A16" s="19">
        <v>12</v>
      </c>
      <c r="B16" s="19" t="s">
        <v>670</v>
      </c>
      <c r="C16" s="19" t="s">
        <v>672</v>
      </c>
      <c r="D16" s="19"/>
      <c r="E16" s="19">
        <v>0</v>
      </c>
      <c r="F16" s="19">
        <f t="shared" si="0"/>
        <v>0</v>
      </c>
    </row>
    <row r="17" ht="21" spans="1:6">
      <c r="A17" s="19">
        <v>13</v>
      </c>
      <c r="B17" s="19" t="s">
        <v>673</v>
      </c>
      <c r="C17" s="19" t="s">
        <v>674</v>
      </c>
      <c r="D17" s="19">
        <v>1</v>
      </c>
      <c r="E17" s="19">
        <v>0</v>
      </c>
      <c r="F17" s="19">
        <f t="shared" si="0"/>
        <v>1</v>
      </c>
    </row>
    <row r="18" ht="21" spans="1:6">
      <c r="A18" s="19">
        <v>14</v>
      </c>
      <c r="B18" s="19" t="s">
        <v>675</v>
      </c>
      <c r="C18" s="19" t="s">
        <v>674</v>
      </c>
      <c r="D18" s="19">
        <v>1</v>
      </c>
      <c r="E18" s="19">
        <v>0</v>
      </c>
      <c r="F18" s="19">
        <f t="shared" si="0"/>
        <v>1</v>
      </c>
    </row>
    <row r="19" ht="21" spans="1:6">
      <c r="A19" s="40" t="s">
        <v>676</v>
      </c>
      <c r="B19" s="40"/>
      <c r="C19" s="40"/>
      <c r="D19" s="40"/>
      <c r="E19" s="40"/>
      <c r="F19" s="40"/>
    </row>
    <row r="20" ht="21" spans="1:6">
      <c r="A20" s="16">
        <v>16</v>
      </c>
      <c r="B20" s="19" t="s">
        <v>677</v>
      </c>
      <c r="C20" s="19"/>
      <c r="D20" s="19">
        <v>18</v>
      </c>
      <c r="E20" s="19"/>
      <c r="F20" s="19">
        <f t="shared" si="0"/>
        <v>18</v>
      </c>
    </row>
    <row r="21" ht="21" spans="1:6">
      <c r="A21" s="40" t="s">
        <v>676</v>
      </c>
      <c r="B21" s="40"/>
      <c r="C21" s="40"/>
      <c r="D21" s="40"/>
      <c r="E21" s="40"/>
      <c r="F21" s="40"/>
    </row>
    <row r="22" ht="21" spans="1:6">
      <c r="A22" s="19">
        <v>18</v>
      </c>
      <c r="B22" s="19" t="s">
        <v>678</v>
      </c>
      <c r="C22" s="19"/>
      <c r="D22" s="19">
        <v>39</v>
      </c>
      <c r="E22" s="19"/>
      <c r="F22" s="19">
        <f t="shared" si="0"/>
        <v>39</v>
      </c>
    </row>
    <row r="23" ht="21" spans="1:6">
      <c r="A23" s="19">
        <v>19</v>
      </c>
      <c r="B23" s="19" t="s">
        <v>679</v>
      </c>
      <c r="C23" s="19"/>
      <c r="D23" s="19">
        <v>6</v>
      </c>
      <c r="E23" s="19"/>
      <c r="F23" s="19">
        <f t="shared" si="0"/>
        <v>6</v>
      </c>
    </row>
    <row r="24" ht="21" spans="1:6">
      <c r="A24" s="19">
        <v>20</v>
      </c>
      <c r="B24" s="19" t="s">
        <v>680</v>
      </c>
      <c r="C24" s="19" t="s">
        <v>681</v>
      </c>
      <c r="D24" s="19">
        <v>1</v>
      </c>
      <c r="E24" s="19"/>
      <c r="F24" s="19">
        <f t="shared" si="0"/>
        <v>1</v>
      </c>
    </row>
    <row r="25" ht="21" spans="1:11">
      <c r="A25" s="19">
        <v>21</v>
      </c>
      <c r="B25" s="19" t="s">
        <v>682</v>
      </c>
      <c r="C25" s="19"/>
      <c r="D25" s="19">
        <v>1</v>
      </c>
      <c r="E25" s="19"/>
      <c r="F25" s="19">
        <f t="shared" si="0"/>
        <v>1</v>
      </c>
      <c r="K25" t="s">
        <v>683</v>
      </c>
    </row>
    <row r="26" ht="21" spans="1:6">
      <c r="A26" s="40" t="s">
        <v>684</v>
      </c>
      <c r="B26" s="40"/>
      <c r="C26" s="40"/>
      <c r="D26" s="40"/>
      <c r="E26" s="40"/>
      <c r="F26" s="40"/>
    </row>
    <row r="27" ht="21" spans="1:6">
      <c r="A27" s="19">
        <v>23</v>
      </c>
      <c r="B27" s="19" t="s">
        <v>685</v>
      </c>
      <c r="C27" s="308" t="s">
        <v>686</v>
      </c>
      <c r="D27" s="19">
        <v>1</v>
      </c>
      <c r="E27" s="19"/>
      <c r="F27" s="19">
        <f t="shared" si="0"/>
        <v>1</v>
      </c>
    </row>
    <row r="28" ht="21" spans="1:6">
      <c r="A28" s="19">
        <v>24</v>
      </c>
      <c r="B28" s="19" t="s">
        <v>687</v>
      </c>
      <c r="C28" s="308" t="s">
        <v>688</v>
      </c>
      <c r="D28" s="19">
        <v>1</v>
      </c>
      <c r="E28" s="19"/>
      <c r="F28" s="19">
        <v>1</v>
      </c>
    </row>
    <row r="29" ht="21" spans="1:6">
      <c r="A29" s="19">
        <v>25</v>
      </c>
      <c r="B29" s="19" t="s">
        <v>689</v>
      </c>
      <c r="C29" s="19" t="s">
        <v>690</v>
      </c>
      <c r="D29" s="19">
        <v>1</v>
      </c>
      <c r="E29" s="19"/>
      <c r="F29" s="19">
        <f t="shared" si="0"/>
        <v>1</v>
      </c>
    </row>
    <row r="30" ht="21" spans="1:6">
      <c r="A30" s="19">
        <v>26</v>
      </c>
      <c r="B30" s="19" t="s">
        <v>691</v>
      </c>
      <c r="C30" s="19">
        <v>20241224</v>
      </c>
      <c r="D30" s="19">
        <v>1</v>
      </c>
      <c r="E30" s="19"/>
      <c r="F30" s="19">
        <f t="shared" si="0"/>
        <v>1</v>
      </c>
    </row>
    <row r="31" ht="21" spans="1:6">
      <c r="A31" s="19">
        <v>27</v>
      </c>
      <c r="B31" s="19" t="s">
        <v>692</v>
      </c>
      <c r="C31" s="19" t="s">
        <v>693</v>
      </c>
      <c r="D31" s="19">
        <v>2</v>
      </c>
      <c r="E31" s="19"/>
      <c r="F31" s="19">
        <f t="shared" si="0"/>
        <v>2</v>
      </c>
    </row>
    <row r="32" ht="21" spans="1:6">
      <c r="A32" s="19">
        <v>28</v>
      </c>
      <c r="B32" s="19" t="s">
        <v>694</v>
      </c>
      <c r="C32" s="19"/>
      <c r="D32" s="19">
        <v>1</v>
      </c>
      <c r="E32" s="19"/>
      <c r="F32" s="19">
        <f t="shared" si="0"/>
        <v>1</v>
      </c>
    </row>
    <row r="33" ht="21" spans="1:6">
      <c r="A33" s="40" t="s">
        <v>676</v>
      </c>
      <c r="B33" s="40"/>
      <c r="C33" s="40"/>
      <c r="D33" s="40"/>
      <c r="E33" s="40"/>
      <c r="F33" s="40"/>
    </row>
    <row r="34" ht="21" spans="1:6">
      <c r="A34" s="19">
        <v>30</v>
      </c>
      <c r="B34" s="19" t="s">
        <v>695</v>
      </c>
      <c r="C34" s="19" t="s">
        <v>696</v>
      </c>
      <c r="D34" s="19">
        <v>1</v>
      </c>
      <c r="E34" s="19"/>
      <c r="F34" s="19">
        <f>D34-E3</f>
        <v>1</v>
      </c>
    </row>
    <row r="35" ht="21" spans="1:6">
      <c r="A35" s="19">
        <v>31</v>
      </c>
      <c r="B35" s="19" t="s">
        <v>697</v>
      </c>
      <c r="C35" s="19" t="s">
        <v>698</v>
      </c>
      <c r="D35" s="19">
        <v>1</v>
      </c>
      <c r="E35" s="19">
        <v>0</v>
      </c>
      <c r="F35" s="19">
        <f>D35-E35</f>
        <v>1</v>
      </c>
    </row>
    <row r="36" ht="21" spans="1:6">
      <c r="A36" s="19">
        <v>32</v>
      </c>
      <c r="B36" s="19" t="s">
        <v>699</v>
      </c>
      <c r="C36" s="19"/>
      <c r="D36" s="19">
        <v>1</v>
      </c>
      <c r="E36" s="19">
        <v>0</v>
      </c>
      <c r="F36" s="19">
        <f t="shared" ref="F35:F59" si="1">D36-E5</f>
        <v>1</v>
      </c>
    </row>
    <row r="37" ht="21" spans="1:6">
      <c r="A37" s="19">
        <v>33</v>
      </c>
      <c r="B37" s="19" t="s">
        <v>700</v>
      </c>
      <c r="C37" s="19"/>
      <c r="D37" s="19">
        <v>1</v>
      </c>
      <c r="E37" s="19"/>
      <c r="F37" s="19">
        <f t="shared" si="1"/>
        <v>1</v>
      </c>
    </row>
    <row r="38" ht="21" spans="1:6">
      <c r="A38" s="19">
        <v>34</v>
      </c>
      <c r="B38" s="19" t="s">
        <v>701</v>
      </c>
      <c r="C38" s="19" t="s">
        <v>702</v>
      </c>
      <c r="D38" s="19">
        <v>1</v>
      </c>
      <c r="E38" s="19"/>
      <c r="F38" s="19">
        <f t="shared" si="1"/>
        <v>1</v>
      </c>
    </row>
    <row r="39" ht="21" spans="1:6">
      <c r="A39" s="19">
        <v>35</v>
      </c>
      <c r="B39" s="19" t="s">
        <v>701</v>
      </c>
      <c r="C39" s="19" t="s">
        <v>703</v>
      </c>
      <c r="D39" s="19">
        <v>1</v>
      </c>
      <c r="E39" s="19"/>
      <c r="F39" s="19">
        <f t="shared" si="1"/>
        <v>1</v>
      </c>
    </row>
    <row r="40" ht="21" spans="1:6">
      <c r="A40" s="19">
        <v>36</v>
      </c>
      <c r="B40" s="19" t="s">
        <v>704</v>
      </c>
      <c r="C40" s="19" t="s">
        <v>705</v>
      </c>
      <c r="D40" s="19">
        <v>1</v>
      </c>
      <c r="E40" s="19"/>
      <c r="F40" s="19">
        <f t="shared" si="1"/>
        <v>1</v>
      </c>
    </row>
    <row r="41" ht="21" spans="1:6">
      <c r="A41" s="19">
        <v>37</v>
      </c>
      <c r="B41" s="19" t="s">
        <v>706</v>
      </c>
      <c r="C41" s="19" t="s">
        <v>348</v>
      </c>
      <c r="D41" s="19">
        <v>1</v>
      </c>
      <c r="E41" s="19"/>
      <c r="F41" s="19">
        <f t="shared" si="1"/>
        <v>1</v>
      </c>
    </row>
    <row r="42" ht="21" spans="1:6">
      <c r="A42" s="19">
        <v>38</v>
      </c>
      <c r="B42" s="19" t="s">
        <v>473</v>
      </c>
      <c r="C42" s="19" t="s">
        <v>707</v>
      </c>
      <c r="D42" s="19">
        <v>2</v>
      </c>
      <c r="E42" s="19"/>
      <c r="F42" s="19">
        <f t="shared" si="1"/>
        <v>2</v>
      </c>
    </row>
    <row r="43" ht="21" spans="1:6">
      <c r="A43" s="19">
        <v>39</v>
      </c>
      <c r="B43" s="19" t="s">
        <v>473</v>
      </c>
      <c r="C43" s="19" t="s">
        <v>708</v>
      </c>
      <c r="D43" s="19">
        <v>2</v>
      </c>
      <c r="E43" s="19"/>
      <c r="F43" s="19">
        <f t="shared" si="1"/>
        <v>2</v>
      </c>
    </row>
    <row r="44" ht="21" spans="1:6">
      <c r="A44" s="19">
        <v>40</v>
      </c>
      <c r="B44" s="19" t="s">
        <v>709</v>
      </c>
      <c r="C44" s="19"/>
      <c r="D44" s="19">
        <v>1</v>
      </c>
      <c r="E44" s="19"/>
      <c r="F44" s="19">
        <f t="shared" si="1"/>
        <v>1</v>
      </c>
    </row>
    <row r="45" ht="21" spans="1:6">
      <c r="A45" s="19">
        <v>41</v>
      </c>
      <c r="B45" s="19" t="s">
        <v>710</v>
      </c>
      <c r="C45" s="19"/>
      <c r="D45" s="19">
        <v>1</v>
      </c>
      <c r="E45" s="19"/>
      <c r="F45" s="19">
        <f t="shared" si="1"/>
        <v>1</v>
      </c>
    </row>
    <row r="46" ht="21" spans="1:6">
      <c r="A46" s="19">
        <v>42</v>
      </c>
      <c r="B46" s="19" t="s">
        <v>711</v>
      </c>
      <c r="C46" s="19"/>
      <c r="D46" s="19">
        <v>1</v>
      </c>
      <c r="E46" s="19"/>
      <c r="F46" s="19">
        <f t="shared" si="1"/>
        <v>1</v>
      </c>
    </row>
    <row r="47" ht="21" spans="1:15">
      <c r="A47" s="19">
        <v>43</v>
      </c>
      <c r="B47" s="19" t="s">
        <v>712</v>
      </c>
      <c r="C47" s="19"/>
      <c r="D47" s="19">
        <v>1</v>
      </c>
      <c r="E47" s="19"/>
      <c r="F47" s="19">
        <f t="shared" si="1"/>
        <v>1</v>
      </c>
      <c r="O47" t="s">
        <v>683</v>
      </c>
    </row>
    <row r="48" ht="21" spans="1:6">
      <c r="A48" s="19">
        <v>44</v>
      </c>
      <c r="B48" s="19" t="s">
        <v>713</v>
      </c>
      <c r="C48" s="19"/>
      <c r="D48" s="19">
        <v>1</v>
      </c>
      <c r="E48" s="19"/>
      <c r="F48" s="19">
        <f t="shared" si="1"/>
        <v>1</v>
      </c>
    </row>
    <row r="49" ht="21" spans="1:6">
      <c r="A49" s="19">
        <v>45</v>
      </c>
      <c r="B49" s="19" t="s">
        <v>714</v>
      </c>
      <c r="C49" s="19" t="s">
        <v>715</v>
      </c>
      <c r="D49" s="19">
        <v>1</v>
      </c>
      <c r="E49" s="19"/>
      <c r="F49" s="19">
        <f t="shared" si="1"/>
        <v>1</v>
      </c>
    </row>
    <row r="50" ht="21" spans="1:6">
      <c r="A50" s="19">
        <v>46</v>
      </c>
      <c r="B50" s="19" t="s">
        <v>716</v>
      </c>
      <c r="C50" s="19" t="s">
        <v>717</v>
      </c>
      <c r="D50" s="19">
        <v>6</v>
      </c>
      <c r="E50" s="19"/>
      <c r="F50" s="19">
        <f t="shared" si="1"/>
        <v>6</v>
      </c>
    </row>
    <row r="51" ht="21" spans="1:6">
      <c r="A51" s="19">
        <v>47</v>
      </c>
      <c r="B51" s="19" t="s">
        <v>718</v>
      </c>
      <c r="C51" s="19" t="s">
        <v>719</v>
      </c>
      <c r="D51" s="19">
        <v>1</v>
      </c>
      <c r="E51" s="19"/>
      <c r="F51" s="19">
        <f t="shared" si="1"/>
        <v>1</v>
      </c>
    </row>
    <row r="52" ht="21" spans="1:6">
      <c r="A52" s="19">
        <v>48</v>
      </c>
      <c r="B52" s="19" t="s">
        <v>359</v>
      </c>
      <c r="C52" s="19" t="s">
        <v>348</v>
      </c>
      <c r="D52" s="19">
        <v>1</v>
      </c>
      <c r="E52" s="19"/>
      <c r="F52" s="19">
        <f t="shared" si="1"/>
        <v>1</v>
      </c>
    </row>
    <row r="53" ht="21" spans="1:6">
      <c r="A53" s="19">
        <v>49</v>
      </c>
      <c r="B53" s="19" t="s">
        <v>720</v>
      </c>
      <c r="C53" s="19" t="s">
        <v>721</v>
      </c>
      <c r="D53" s="19">
        <v>1</v>
      </c>
      <c r="E53" s="19"/>
      <c r="F53" s="19">
        <f t="shared" si="1"/>
        <v>1</v>
      </c>
    </row>
    <row r="54" ht="21" spans="1:6">
      <c r="A54" s="19">
        <v>50</v>
      </c>
      <c r="B54" s="19" t="s">
        <v>720</v>
      </c>
      <c r="C54" s="19" t="s">
        <v>348</v>
      </c>
      <c r="D54" s="19">
        <v>1</v>
      </c>
      <c r="E54" s="19"/>
      <c r="F54" s="19">
        <f t="shared" si="1"/>
        <v>1</v>
      </c>
    </row>
    <row r="55" ht="21" spans="1:6">
      <c r="A55" s="19">
        <v>51</v>
      </c>
      <c r="B55" s="19" t="s">
        <v>722</v>
      </c>
      <c r="C55" s="19" t="s">
        <v>723</v>
      </c>
      <c r="D55" s="19">
        <v>1</v>
      </c>
      <c r="E55" s="19"/>
      <c r="F55" s="19">
        <f t="shared" si="1"/>
        <v>1</v>
      </c>
    </row>
    <row r="56" ht="21" spans="1:6">
      <c r="A56" s="19">
        <v>52</v>
      </c>
      <c r="B56" s="19" t="s">
        <v>724</v>
      </c>
      <c r="C56" s="19" t="s">
        <v>725</v>
      </c>
      <c r="D56" s="19">
        <v>1</v>
      </c>
      <c r="E56" s="19"/>
      <c r="F56" s="19">
        <f t="shared" si="1"/>
        <v>1</v>
      </c>
    </row>
    <row r="57" ht="21" spans="1:6">
      <c r="A57" s="19">
        <v>53</v>
      </c>
      <c r="B57" s="19" t="s">
        <v>726</v>
      </c>
      <c r="C57" s="19" t="s">
        <v>723</v>
      </c>
      <c r="D57" s="19">
        <v>1</v>
      </c>
      <c r="E57" s="19"/>
      <c r="F57" s="19">
        <f t="shared" si="1"/>
        <v>1</v>
      </c>
    </row>
    <row r="58" ht="21" spans="1:6">
      <c r="A58" s="19">
        <v>54</v>
      </c>
      <c r="B58" s="19"/>
      <c r="C58" s="19"/>
      <c r="D58" s="19"/>
      <c r="E58" s="19"/>
      <c r="F58" s="19">
        <f t="shared" si="1"/>
        <v>0</v>
      </c>
    </row>
    <row r="59" spans="6:6">
      <c r="F59">
        <f t="shared" si="1"/>
        <v>0</v>
      </c>
    </row>
  </sheetData>
  <mergeCells count="6">
    <mergeCell ref="A12:F12"/>
    <mergeCell ref="A19:F19"/>
    <mergeCell ref="A21:F21"/>
    <mergeCell ref="A26:F26"/>
    <mergeCell ref="A33:F33"/>
    <mergeCell ref="A1:H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zoomScale="120" zoomScaleNormal="120" workbookViewId="0">
      <selection activeCell="P6" sqref="P6"/>
    </sheetView>
  </sheetViews>
  <sheetFormatPr defaultColWidth="9.14285714285714" defaultRowHeight="15" outlineLevelCol="5"/>
  <cols>
    <col min="1" max="1" width="5.28571428571429" customWidth="1"/>
    <col min="2" max="2" width="44.4285714285714" customWidth="1"/>
    <col min="3" max="3" width="25.4285714285714" customWidth="1"/>
    <col min="4" max="4" width="9.85714285714286" customWidth="1"/>
    <col min="6" max="6" width="10.8571428571429" customWidth="1"/>
  </cols>
  <sheetData>
    <row r="1" spans="1:6">
      <c r="A1" s="27" t="s">
        <v>727</v>
      </c>
      <c r="B1" s="27"/>
      <c r="C1" s="27"/>
      <c r="D1" s="27"/>
      <c r="E1" s="27"/>
      <c r="F1" s="27"/>
    </row>
    <row r="2" spans="1:6">
      <c r="A2" s="27"/>
      <c r="B2" s="27"/>
      <c r="C2" s="27"/>
      <c r="D2" s="27"/>
      <c r="E2" s="27"/>
      <c r="F2" s="27"/>
    </row>
    <row r="3" spans="1:6">
      <c r="A3" s="27"/>
      <c r="B3" s="27"/>
      <c r="C3" s="27"/>
      <c r="D3" s="27"/>
      <c r="E3" s="27"/>
      <c r="F3" s="27"/>
    </row>
    <row r="4" ht="30" spans="1:6">
      <c r="A4" s="28" t="s">
        <v>70</v>
      </c>
      <c r="B4" s="5" t="s">
        <v>492</v>
      </c>
      <c r="C4" s="5" t="s">
        <v>728</v>
      </c>
      <c r="D4" s="5" t="s">
        <v>6</v>
      </c>
      <c r="E4" s="29" t="s">
        <v>74</v>
      </c>
      <c r="F4" s="30" t="s">
        <v>567</v>
      </c>
    </row>
    <row r="5" ht="18.75" spans="1:6">
      <c r="A5">
        <v>1</v>
      </c>
      <c r="B5" s="31" t="s">
        <v>729</v>
      </c>
      <c r="C5" s="31" t="s">
        <v>730</v>
      </c>
      <c r="D5" s="12">
        <v>2</v>
      </c>
      <c r="E5" s="17"/>
      <c r="F5" s="32">
        <f>D5-E5</f>
        <v>2</v>
      </c>
    </row>
    <row r="6" ht="18.75" spans="1:6">
      <c r="A6">
        <v>2</v>
      </c>
      <c r="B6" s="31" t="s">
        <v>731</v>
      </c>
      <c r="C6" s="31"/>
      <c r="D6" s="12">
        <v>1</v>
      </c>
      <c r="E6" s="17"/>
      <c r="F6" s="32">
        <f t="shared" ref="F6:F34" si="0">D6-E6</f>
        <v>1</v>
      </c>
    </row>
    <row r="7" ht="18.75" spans="1:6">
      <c r="A7">
        <v>3</v>
      </c>
      <c r="B7" s="31" t="s">
        <v>732</v>
      </c>
      <c r="C7" s="31" t="s">
        <v>733</v>
      </c>
      <c r="D7" s="12">
        <v>2</v>
      </c>
      <c r="E7" s="17">
        <v>1</v>
      </c>
      <c r="F7" s="32">
        <f t="shared" si="0"/>
        <v>1</v>
      </c>
    </row>
    <row r="8" ht="18.75" spans="1:6">
      <c r="A8">
        <v>4</v>
      </c>
      <c r="B8" s="31" t="s">
        <v>734</v>
      </c>
      <c r="C8" s="31"/>
      <c r="D8" s="12">
        <v>5</v>
      </c>
      <c r="E8" s="17">
        <v>1</v>
      </c>
      <c r="F8" s="32">
        <f t="shared" si="0"/>
        <v>4</v>
      </c>
    </row>
    <row r="9" ht="18.75" spans="1:6">
      <c r="A9">
        <v>5</v>
      </c>
      <c r="B9" s="31" t="s">
        <v>735</v>
      </c>
      <c r="C9" s="31" t="s">
        <v>736</v>
      </c>
      <c r="D9" s="12">
        <v>3</v>
      </c>
      <c r="E9" s="17"/>
      <c r="F9" s="32">
        <f t="shared" si="0"/>
        <v>3</v>
      </c>
    </row>
    <row r="10" ht="18.75" spans="1:6">
      <c r="A10">
        <v>6</v>
      </c>
      <c r="B10" s="31" t="s">
        <v>737</v>
      </c>
      <c r="C10" s="31" t="s">
        <v>738</v>
      </c>
      <c r="D10" s="12">
        <v>2</v>
      </c>
      <c r="E10" s="17">
        <v>1</v>
      </c>
      <c r="F10" s="32">
        <f t="shared" si="0"/>
        <v>1</v>
      </c>
    </row>
    <row r="11" ht="18.75" spans="1:6">
      <c r="A11">
        <v>7</v>
      </c>
      <c r="B11" s="31" t="s">
        <v>739</v>
      </c>
      <c r="C11" s="31"/>
      <c r="D11" s="12">
        <v>2</v>
      </c>
      <c r="E11" s="17"/>
      <c r="F11" s="32">
        <f t="shared" si="0"/>
        <v>2</v>
      </c>
    </row>
    <row r="12" ht="18.75" spans="1:6">
      <c r="A12">
        <v>8</v>
      </c>
      <c r="B12" s="31" t="s">
        <v>740</v>
      </c>
      <c r="C12" s="31" t="s">
        <v>736</v>
      </c>
      <c r="D12" s="12">
        <v>6</v>
      </c>
      <c r="E12" s="17"/>
      <c r="F12" s="32">
        <f t="shared" si="0"/>
        <v>6</v>
      </c>
    </row>
    <row r="13" ht="18.75" spans="1:6">
      <c r="A13">
        <v>9</v>
      </c>
      <c r="B13" s="31" t="s">
        <v>741</v>
      </c>
      <c r="C13" s="31" t="s">
        <v>736</v>
      </c>
      <c r="D13" s="12">
        <v>2</v>
      </c>
      <c r="E13" s="17"/>
      <c r="F13" s="32">
        <f t="shared" si="0"/>
        <v>2</v>
      </c>
    </row>
    <row r="14" ht="18.75" spans="1:6">
      <c r="A14">
        <v>10</v>
      </c>
      <c r="B14" s="31" t="s">
        <v>742</v>
      </c>
      <c r="C14" s="31" t="s">
        <v>743</v>
      </c>
      <c r="D14" s="12">
        <v>6</v>
      </c>
      <c r="E14" s="17"/>
      <c r="F14" s="32">
        <f t="shared" si="0"/>
        <v>6</v>
      </c>
    </row>
    <row r="15" ht="18.75" spans="1:6">
      <c r="A15">
        <v>11</v>
      </c>
      <c r="B15" s="31" t="s">
        <v>744</v>
      </c>
      <c r="C15" s="31" t="s">
        <v>745</v>
      </c>
      <c r="D15" s="12">
        <v>8</v>
      </c>
      <c r="E15" s="17">
        <v>2</v>
      </c>
      <c r="F15" s="32">
        <f t="shared" si="0"/>
        <v>6</v>
      </c>
    </row>
    <row r="16" ht="18.75" spans="1:6">
      <c r="A16">
        <v>12</v>
      </c>
      <c r="B16" s="31" t="s">
        <v>409</v>
      </c>
      <c r="C16" s="31"/>
      <c r="D16" s="12">
        <v>4</v>
      </c>
      <c r="E16" s="17"/>
      <c r="F16" s="32">
        <f t="shared" si="0"/>
        <v>4</v>
      </c>
    </row>
    <row r="17" ht="18.75" spans="1:6">
      <c r="A17">
        <v>13</v>
      </c>
      <c r="B17" s="31" t="s">
        <v>746</v>
      </c>
      <c r="C17" s="31"/>
      <c r="D17" s="12">
        <v>1</v>
      </c>
      <c r="E17" s="17">
        <v>1</v>
      </c>
      <c r="F17" s="32">
        <f t="shared" si="0"/>
        <v>0</v>
      </c>
    </row>
    <row r="18" ht="18.75" spans="1:6">
      <c r="A18">
        <v>14</v>
      </c>
      <c r="B18" s="31" t="s">
        <v>747</v>
      </c>
      <c r="C18" s="31"/>
      <c r="D18" s="12">
        <v>1</v>
      </c>
      <c r="E18" s="17"/>
      <c r="F18" s="32">
        <f t="shared" si="0"/>
        <v>1</v>
      </c>
    </row>
    <row r="19" ht="18.75" spans="1:6">
      <c r="A19">
        <v>15</v>
      </c>
      <c r="B19" s="31" t="s">
        <v>748</v>
      </c>
      <c r="C19" s="31"/>
      <c r="D19" s="12">
        <v>1</v>
      </c>
      <c r="E19" s="17"/>
      <c r="F19" s="32">
        <f t="shared" si="0"/>
        <v>1</v>
      </c>
    </row>
    <row r="20" ht="18.75" spans="1:6">
      <c r="A20">
        <v>16</v>
      </c>
      <c r="B20" s="31" t="s">
        <v>749</v>
      </c>
      <c r="C20" s="31"/>
      <c r="D20" s="12">
        <v>6</v>
      </c>
      <c r="E20" s="17">
        <v>2</v>
      </c>
      <c r="F20" s="32">
        <f t="shared" si="0"/>
        <v>4</v>
      </c>
    </row>
    <row r="21" ht="18.75" spans="1:6">
      <c r="A21">
        <v>17</v>
      </c>
      <c r="B21" s="31" t="s">
        <v>750</v>
      </c>
      <c r="C21" s="31" t="s">
        <v>751</v>
      </c>
      <c r="D21" s="12">
        <v>1</v>
      </c>
      <c r="E21" s="17"/>
      <c r="F21" s="32">
        <f t="shared" si="0"/>
        <v>1</v>
      </c>
    </row>
    <row r="22" ht="18.75" spans="1:6">
      <c r="A22">
        <v>18</v>
      </c>
      <c r="B22" s="31" t="s">
        <v>364</v>
      </c>
      <c r="C22" s="31" t="s">
        <v>752</v>
      </c>
      <c r="D22" s="12">
        <v>1</v>
      </c>
      <c r="E22" s="17"/>
      <c r="F22" s="32">
        <f t="shared" si="0"/>
        <v>1</v>
      </c>
    </row>
    <row r="23" ht="18.75" spans="1:6">
      <c r="A23">
        <v>19</v>
      </c>
      <c r="B23" s="31" t="s">
        <v>753</v>
      </c>
      <c r="C23" s="31"/>
      <c r="D23" s="12">
        <v>1</v>
      </c>
      <c r="E23" s="17"/>
      <c r="F23" s="32">
        <f t="shared" si="0"/>
        <v>1</v>
      </c>
    </row>
    <row r="24" ht="18.75" spans="1:6">
      <c r="A24">
        <v>20</v>
      </c>
      <c r="B24" s="31"/>
      <c r="C24" s="31"/>
      <c r="D24" s="12"/>
      <c r="E24" s="17"/>
      <c r="F24" s="32">
        <f t="shared" si="0"/>
        <v>0</v>
      </c>
    </row>
    <row r="25" ht="18.75" spans="1:6">
      <c r="A25">
        <v>21</v>
      </c>
      <c r="B25" s="31"/>
      <c r="C25" s="31"/>
      <c r="D25" s="12"/>
      <c r="E25" s="17"/>
      <c r="F25" s="32">
        <f t="shared" si="0"/>
        <v>0</v>
      </c>
    </row>
    <row r="26" ht="18.75" spans="1:6">
      <c r="A26">
        <v>22</v>
      </c>
      <c r="B26" s="31"/>
      <c r="C26" s="31"/>
      <c r="D26" s="12"/>
      <c r="E26" s="17"/>
      <c r="F26" s="32">
        <f t="shared" si="0"/>
        <v>0</v>
      </c>
    </row>
    <row r="27" ht="18.75" spans="1:6">
      <c r="A27">
        <v>23</v>
      </c>
      <c r="B27" s="31"/>
      <c r="C27" s="31"/>
      <c r="D27" s="12"/>
      <c r="E27" s="17"/>
      <c r="F27" s="32">
        <f t="shared" si="0"/>
        <v>0</v>
      </c>
    </row>
    <row r="28" ht="18.75" spans="1:6">
      <c r="A28">
        <v>24</v>
      </c>
      <c r="B28" s="31"/>
      <c r="C28" s="31"/>
      <c r="D28" s="12"/>
      <c r="E28" s="17"/>
      <c r="F28" s="32">
        <f t="shared" si="0"/>
        <v>0</v>
      </c>
    </row>
    <row r="29" ht="18.75" spans="1:6">
      <c r="A29">
        <v>25</v>
      </c>
      <c r="B29" s="31"/>
      <c r="C29" s="31"/>
      <c r="D29" s="12"/>
      <c r="E29" s="17"/>
      <c r="F29" s="32">
        <f t="shared" si="0"/>
        <v>0</v>
      </c>
    </row>
    <row r="30" ht="18.75" spans="1:6">
      <c r="A30">
        <v>26</v>
      </c>
      <c r="B30" s="31"/>
      <c r="C30" s="31"/>
      <c r="D30" s="12"/>
      <c r="E30" s="17"/>
      <c r="F30" s="32">
        <f t="shared" si="0"/>
        <v>0</v>
      </c>
    </row>
    <row r="31" ht="18.75" spans="1:6">
      <c r="A31">
        <v>27</v>
      </c>
      <c r="B31" s="31"/>
      <c r="C31" s="31"/>
      <c r="D31" s="12"/>
      <c r="E31" s="17"/>
      <c r="F31" s="32">
        <f t="shared" si="0"/>
        <v>0</v>
      </c>
    </row>
    <row r="32" ht="18.75" spans="1:6">
      <c r="A32">
        <v>28</v>
      </c>
      <c r="B32" s="31"/>
      <c r="C32" s="31"/>
      <c r="D32" s="12"/>
      <c r="E32" s="17"/>
      <c r="F32" s="32">
        <f t="shared" si="0"/>
        <v>0</v>
      </c>
    </row>
    <row r="33" ht="18.75" spans="1:6">
      <c r="A33">
        <v>29</v>
      </c>
      <c r="B33" s="31"/>
      <c r="C33" s="31"/>
      <c r="D33" s="12"/>
      <c r="E33" s="17"/>
      <c r="F33" s="32">
        <f t="shared" si="0"/>
        <v>0</v>
      </c>
    </row>
    <row r="34" ht="18.75" spans="1:6">
      <c r="A34">
        <v>30</v>
      </c>
      <c r="B34" s="11"/>
      <c r="C34" s="11"/>
      <c r="D34" s="17"/>
      <c r="E34" s="17"/>
      <c r="F34" s="32">
        <f t="shared" si="0"/>
        <v>0</v>
      </c>
    </row>
  </sheetData>
  <mergeCells count="1">
    <mergeCell ref="A1:F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opLeftCell="A15" workbookViewId="0">
      <selection activeCell="Q33" sqref="Q33"/>
    </sheetView>
  </sheetViews>
  <sheetFormatPr defaultColWidth="9.14285714285714" defaultRowHeight="15" outlineLevelCol="5"/>
  <cols>
    <col min="1" max="1" width="6" customWidth="1"/>
    <col min="2" max="2" width="57.5714285714286" customWidth="1"/>
    <col min="3" max="3" width="33.5714285714286" customWidth="1"/>
    <col min="6" max="6" width="12" customWidth="1"/>
  </cols>
  <sheetData>
    <row r="1" spans="1:6">
      <c r="A1" s="20" t="s">
        <v>754</v>
      </c>
      <c r="B1" s="20"/>
      <c r="C1" s="20"/>
      <c r="D1" s="20"/>
      <c r="E1" s="20"/>
      <c r="F1" s="20"/>
    </row>
    <row r="2" spans="1:6">
      <c r="A2" s="20"/>
      <c r="B2" s="20"/>
      <c r="C2" s="20"/>
      <c r="D2" s="20"/>
      <c r="E2" s="20"/>
      <c r="F2" s="20"/>
    </row>
    <row r="3" spans="1:6">
      <c r="A3" s="20"/>
      <c r="B3" s="20"/>
      <c r="C3" s="20"/>
      <c r="D3" s="20"/>
      <c r="E3" s="20"/>
      <c r="F3" s="20"/>
    </row>
    <row r="4" ht="30" spans="1:6">
      <c r="A4" s="21" t="s">
        <v>70</v>
      </c>
      <c r="B4" s="22" t="s">
        <v>492</v>
      </c>
      <c r="C4" s="22" t="s">
        <v>755</v>
      </c>
      <c r="D4" s="22" t="s">
        <v>73</v>
      </c>
      <c r="E4" s="22" t="s">
        <v>74</v>
      </c>
      <c r="F4" s="22" t="s">
        <v>160</v>
      </c>
    </row>
    <row r="5" ht="23.25" spans="1:6">
      <c r="A5" s="23">
        <v>1</v>
      </c>
      <c r="B5" s="24" t="s">
        <v>756</v>
      </c>
      <c r="C5" s="24" t="s">
        <v>757</v>
      </c>
      <c r="D5" s="24">
        <v>2</v>
      </c>
      <c r="E5" s="24">
        <v>0</v>
      </c>
      <c r="F5" s="25">
        <f>D5-E5</f>
        <v>2</v>
      </c>
    </row>
    <row r="6" ht="23.25" spans="1:6">
      <c r="A6" s="23">
        <v>2</v>
      </c>
      <c r="B6" s="24" t="s">
        <v>706</v>
      </c>
      <c r="C6" s="24" t="s">
        <v>409</v>
      </c>
      <c r="D6" s="24">
        <v>1</v>
      </c>
      <c r="E6" s="24"/>
      <c r="F6" s="25">
        <f t="shared" ref="F6:F26" si="0">D6-E6</f>
        <v>1</v>
      </c>
    </row>
    <row r="7" ht="23.25" spans="1:6">
      <c r="A7" s="23">
        <v>3</v>
      </c>
      <c r="B7" s="24" t="s">
        <v>758</v>
      </c>
      <c r="C7" s="24"/>
      <c r="D7" s="24">
        <v>8</v>
      </c>
      <c r="E7" s="24">
        <v>1</v>
      </c>
      <c r="F7" s="25">
        <f t="shared" si="0"/>
        <v>7</v>
      </c>
    </row>
    <row r="8" ht="23.25" spans="1:6">
      <c r="A8" s="23">
        <v>4</v>
      </c>
      <c r="B8" s="24" t="s">
        <v>759</v>
      </c>
      <c r="C8" s="24" t="s">
        <v>760</v>
      </c>
      <c r="D8" s="24">
        <v>2</v>
      </c>
      <c r="E8" s="24"/>
      <c r="F8" s="25">
        <f t="shared" si="0"/>
        <v>2</v>
      </c>
    </row>
    <row r="9" ht="23.25" spans="1:6">
      <c r="A9" s="23">
        <v>5</v>
      </c>
      <c r="B9" s="24" t="s">
        <v>761</v>
      </c>
      <c r="C9" s="24"/>
      <c r="D9" s="24">
        <v>22</v>
      </c>
      <c r="E9" s="24"/>
      <c r="F9" s="25">
        <f t="shared" si="0"/>
        <v>22</v>
      </c>
    </row>
    <row r="10" ht="23.25" spans="1:6">
      <c r="A10" s="23">
        <v>6</v>
      </c>
      <c r="B10" s="24" t="s">
        <v>762</v>
      </c>
      <c r="C10" s="24" t="s">
        <v>763</v>
      </c>
      <c r="D10" s="24">
        <v>9</v>
      </c>
      <c r="E10" s="24"/>
      <c r="F10" s="25">
        <f t="shared" si="0"/>
        <v>9</v>
      </c>
    </row>
    <row r="11" ht="23.25" spans="1:6">
      <c r="A11" s="23">
        <v>7</v>
      </c>
      <c r="B11" s="24" t="s">
        <v>764</v>
      </c>
      <c r="C11" s="24" t="s">
        <v>765</v>
      </c>
      <c r="D11" s="24">
        <v>2</v>
      </c>
      <c r="E11" s="24"/>
      <c r="F11" s="25">
        <f t="shared" si="0"/>
        <v>2</v>
      </c>
    </row>
    <row r="12" ht="23.25" spans="1:6">
      <c r="A12" s="23">
        <v>8</v>
      </c>
      <c r="B12" s="24" t="s">
        <v>766</v>
      </c>
      <c r="C12" s="24" t="s">
        <v>767</v>
      </c>
      <c r="D12" s="24">
        <v>1</v>
      </c>
      <c r="E12" s="24"/>
      <c r="F12" s="25">
        <f t="shared" si="0"/>
        <v>1</v>
      </c>
    </row>
    <row r="13" ht="23.25" spans="1:6">
      <c r="A13" s="23">
        <v>9</v>
      </c>
      <c r="B13" s="24" t="s">
        <v>768</v>
      </c>
      <c r="C13" s="24" t="s">
        <v>767</v>
      </c>
      <c r="D13" s="24">
        <v>1</v>
      </c>
      <c r="E13" s="24"/>
      <c r="F13" s="25">
        <f t="shared" si="0"/>
        <v>1</v>
      </c>
    </row>
    <row r="14" ht="23.25" spans="1:6">
      <c r="A14" s="23">
        <v>10</v>
      </c>
      <c r="B14" s="24" t="s">
        <v>769</v>
      </c>
      <c r="C14" s="24" t="s">
        <v>770</v>
      </c>
      <c r="D14" s="24">
        <v>1</v>
      </c>
      <c r="E14" s="24"/>
      <c r="F14" s="25">
        <f t="shared" si="0"/>
        <v>1</v>
      </c>
    </row>
    <row r="15" ht="23.25" spans="1:6">
      <c r="A15" s="23">
        <v>11</v>
      </c>
      <c r="B15" s="24" t="s">
        <v>771</v>
      </c>
      <c r="C15" s="24"/>
      <c r="D15" s="24">
        <v>1</v>
      </c>
      <c r="E15" s="24"/>
      <c r="F15" s="25">
        <f t="shared" si="0"/>
        <v>1</v>
      </c>
    </row>
    <row r="16" ht="23.25" spans="1:6">
      <c r="A16" s="23">
        <v>12</v>
      </c>
      <c r="B16" s="24" t="s">
        <v>772</v>
      </c>
      <c r="C16" s="24" t="s">
        <v>773</v>
      </c>
      <c r="D16" s="24">
        <v>1</v>
      </c>
      <c r="E16" s="24"/>
      <c r="F16" s="25">
        <f t="shared" si="0"/>
        <v>1</v>
      </c>
    </row>
    <row r="17" ht="23.25" spans="1:6">
      <c r="A17" s="23">
        <v>13</v>
      </c>
      <c r="B17" s="24" t="s">
        <v>774</v>
      </c>
      <c r="C17" s="24"/>
      <c r="D17" s="24">
        <v>11</v>
      </c>
      <c r="E17" s="24"/>
      <c r="F17" s="25">
        <f t="shared" si="0"/>
        <v>11</v>
      </c>
    </row>
    <row r="18" ht="23.25" spans="1:6">
      <c r="A18" s="23">
        <v>14</v>
      </c>
      <c r="B18" s="24" t="s">
        <v>775</v>
      </c>
      <c r="C18" s="24" t="s">
        <v>776</v>
      </c>
      <c r="D18" s="24">
        <v>4</v>
      </c>
      <c r="E18" s="24"/>
      <c r="F18" s="25">
        <f t="shared" si="0"/>
        <v>4</v>
      </c>
    </row>
    <row r="19" ht="23.25" spans="1:6">
      <c r="A19" s="23">
        <v>15</v>
      </c>
      <c r="B19" s="24" t="s">
        <v>777</v>
      </c>
      <c r="C19" s="24"/>
      <c r="D19" s="24">
        <v>1</v>
      </c>
      <c r="E19" s="24"/>
      <c r="F19" s="25">
        <f t="shared" si="0"/>
        <v>1</v>
      </c>
    </row>
    <row r="20" ht="23.25" spans="1:6">
      <c r="A20" s="23">
        <v>16</v>
      </c>
      <c r="B20" s="24" t="s">
        <v>778</v>
      </c>
      <c r="C20" s="24" t="s">
        <v>409</v>
      </c>
      <c r="D20" s="24">
        <v>1</v>
      </c>
      <c r="E20" s="24"/>
      <c r="F20" s="25">
        <f t="shared" si="0"/>
        <v>1</v>
      </c>
    </row>
    <row r="21" ht="23.25" spans="1:6">
      <c r="A21" s="23">
        <v>17</v>
      </c>
      <c r="B21" s="24" t="s">
        <v>779</v>
      </c>
      <c r="C21" s="24" t="s">
        <v>409</v>
      </c>
      <c r="D21" s="24">
        <v>1</v>
      </c>
      <c r="E21" s="24"/>
      <c r="F21" s="25">
        <f t="shared" si="0"/>
        <v>1</v>
      </c>
    </row>
    <row r="22" ht="23.25" spans="1:6">
      <c r="A22" s="23">
        <v>18</v>
      </c>
      <c r="B22" s="24" t="s">
        <v>779</v>
      </c>
      <c r="C22" s="24" t="s">
        <v>780</v>
      </c>
      <c r="D22" s="24">
        <v>1</v>
      </c>
      <c r="E22" s="24"/>
      <c r="F22" s="25">
        <f t="shared" si="0"/>
        <v>1</v>
      </c>
    </row>
    <row r="23" ht="23.25" spans="1:6">
      <c r="A23" s="23">
        <v>19</v>
      </c>
      <c r="B23" s="24" t="s">
        <v>781</v>
      </c>
      <c r="C23" s="24"/>
      <c r="D23" s="24">
        <v>1</v>
      </c>
      <c r="E23" s="24"/>
      <c r="F23" s="25">
        <f t="shared" si="0"/>
        <v>1</v>
      </c>
    </row>
    <row r="24" ht="23.25" spans="1:6">
      <c r="A24" s="23">
        <v>20</v>
      </c>
      <c r="B24" s="24" t="s">
        <v>782</v>
      </c>
      <c r="C24" s="24"/>
      <c r="D24" s="24">
        <v>1</v>
      </c>
      <c r="E24" s="24"/>
      <c r="F24" s="25">
        <f t="shared" si="0"/>
        <v>1</v>
      </c>
    </row>
    <row r="25" ht="23.25" spans="1:6">
      <c r="A25" s="23">
        <v>21</v>
      </c>
      <c r="B25" s="24" t="s">
        <v>783</v>
      </c>
      <c r="C25" s="24"/>
      <c r="D25" s="24">
        <v>1</v>
      </c>
      <c r="E25" s="24"/>
      <c r="F25" s="25">
        <f t="shared" si="0"/>
        <v>1</v>
      </c>
    </row>
    <row r="26" ht="23.25" spans="1:6">
      <c r="A26" s="24">
        <v>22</v>
      </c>
      <c r="B26" s="24" t="s">
        <v>784</v>
      </c>
      <c r="C26" s="24" t="s">
        <v>785</v>
      </c>
      <c r="D26" s="24">
        <v>12</v>
      </c>
      <c r="E26" s="24"/>
      <c r="F26" s="25">
        <f t="shared" si="0"/>
        <v>12</v>
      </c>
    </row>
    <row r="27" ht="23.25" spans="1:6">
      <c r="A27" s="24">
        <v>23</v>
      </c>
      <c r="B27" s="26" t="s">
        <v>786</v>
      </c>
      <c r="C27" s="24" t="s">
        <v>787</v>
      </c>
      <c r="D27" s="24">
        <v>1</v>
      </c>
      <c r="E27" s="24"/>
      <c r="F27" s="25">
        <v>1</v>
      </c>
    </row>
    <row r="28" ht="23.25" spans="1:6">
      <c r="A28" s="24">
        <v>24</v>
      </c>
      <c r="B28" s="24"/>
      <c r="C28" s="24"/>
      <c r="D28" s="24"/>
      <c r="E28" s="24"/>
      <c r="F28" s="24"/>
    </row>
    <row r="29" ht="23.25" spans="1:6">
      <c r="A29" s="24">
        <v>25</v>
      </c>
      <c r="B29" s="24"/>
      <c r="C29" s="24"/>
      <c r="D29" s="24"/>
      <c r="E29" s="24"/>
      <c r="F29" s="24"/>
    </row>
    <row r="30" ht="23.25" spans="1:6">
      <c r="A30" s="24">
        <v>26</v>
      </c>
      <c r="B30" s="24"/>
      <c r="C30" s="24"/>
      <c r="D30" s="24"/>
      <c r="E30" s="24"/>
      <c r="F30" s="24"/>
    </row>
    <row r="31" ht="23.25" spans="1:6">
      <c r="A31" s="24">
        <v>27</v>
      </c>
      <c r="B31" s="24"/>
      <c r="C31" s="24"/>
      <c r="D31" s="24"/>
      <c r="E31" s="24"/>
      <c r="F31" s="24"/>
    </row>
    <row r="32" ht="23.25" spans="1:6">
      <c r="A32" s="24">
        <v>28</v>
      </c>
      <c r="B32" s="24"/>
      <c r="C32" s="24"/>
      <c r="D32" s="24"/>
      <c r="E32" s="24"/>
      <c r="F32" s="24"/>
    </row>
    <row r="33" ht="23.25" spans="1:6">
      <c r="A33" s="24">
        <v>29</v>
      </c>
      <c r="B33" s="24"/>
      <c r="C33" s="24"/>
      <c r="D33" s="24"/>
      <c r="E33" s="24"/>
      <c r="F33" s="24"/>
    </row>
    <row r="34" ht="23.25" spans="1:6">
      <c r="A34" s="24">
        <v>30</v>
      </c>
      <c r="B34" s="24"/>
      <c r="C34" s="24"/>
      <c r="D34" s="24"/>
      <c r="E34" s="24"/>
      <c r="F34" s="24"/>
    </row>
    <row r="35" ht="23.25" spans="1:6">
      <c r="A35" s="24">
        <v>31</v>
      </c>
      <c r="B35" s="24"/>
      <c r="C35" s="24"/>
      <c r="D35" s="24"/>
      <c r="E35" s="24"/>
      <c r="F35" s="24"/>
    </row>
    <row r="36" ht="23.25" spans="1:6">
      <c r="A36" s="24">
        <v>32</v>
      </c>
      <c r="B36" s="24"/>
      <c r="C36" s="24"/>
      <c r="D36" s="24"/>
      <c r="E36" s="24"/>
      <c r="F36" s="24"/>
    </row>
    <row r="37" ht="23.25" spans="1:6">
      <c r="A37" s="24">
        <v>33</v>
      </c>
      <c r="B37" s="24"/>
      <c r="C37" s="24"/>
      <c r="D37" s="24"/>
      <c r="E37" s="24"/>
      <c r="F37" s="24"/>
    </row>
    <row r="38" ht="23.25" spans="1:6">
      <c r="A38" s="24">
        <v>34</v>
      </c>
      <c r="B38" s="24"/>
      <c r="C38" s="24"/>
      <c r="D38" s="24"/>
      <c r="E38" s="24"/>
      <c r="F38" s="24"/>
    </row>
    <row r="39" ht="23.25" spans="1:6">
      <c r="A39" s="24">
        <v>35</v>
      </c>
      <c r="B39" s="24"/>
      <c r="C39" s="24"/>
      <c r="D39" s="24"/>
      <c r="E39" s="24"/>
      <c r="F39" s="24"/>
    </row>
    <row r="40" ht="23.25" spans="1:6">
      <c r="A40" s="24">
        <v>36</v>
      </c>
      <c r="B40" s="24"/>
      <c r="C40" s="24"/>
      <c r="D40" s="24"/>
      <c r="E40" s="24"/>
      <c r="F40" s="24"/>
    </row>
    <row r="41" ht="23.25" spans="1:6">
      <c r="A41" s="24">
        <v>37</v>
      </c>
      <c r="B41" s="24"/>
      <c r="C41" s="24"/>
      <c r="D41" s="24"/>
      <c r="E41" s="24"/>
      <c r="F41" s="24"/>
    </row>
    <row r="42" ht="23.25" spans="1:6">
      <c r="A42" s="24">
        <v>38</v>
      </c>
      <c r="B42" s="24"/>
      <c r="C42" s="24"/>
      <c r="D42" s="24"/>
      <c r="E42" s="24"/>
      <c r="F42" s="24"/>
    </row>
    <row r="43" ht="23.25" spans="1:6">
      <c r="A43" s="24">
        <v>39</v>
      </c>
      <c r="B43" s="24"/>
      <c r="C43" s="24"/>
      <c r="D43" s="24"/>
      <c r="E43" s="24"/>
      <c r="F43" s="24"/>
    </row>
    <row r="44" ht="23.25" spans="1:6">
      <c r="A44" s="24">
        <v>40</v>
      </c>
      <c r="B44" s="24"/>
      <c r="C44" s="24"/>
      <c r="D44" s="24"/>
      <c r="E44" s="24"/>
      <c r="F44" s="24"/>
    </row>
  </sheetData>
  <mergeCells count="1">
    <mergeCell ref="A1:F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"/>
  <sheetViews>
    <sheetView zoomScale="120" zoomScaleNormal="120" topLeftCell="A104" workbookViewId="0">
      <selection activeCell="E114" sqref="E114"/>
    </sheetView>
  </sheetViews>
  <sheetFormatPr defaultColWidth="9.14285714285714" defaultRowHeight="15"/>
  <cols>
    <col min="1" max="1" width="4.85714285714286" customWidth="1"/>
    <col min="2" max="2" width="56.2857142857143" customWidth="1"/>
    <col min="3" max="3" width="46.2857142857143" customWidth="1"/>
    <col min="4" max="5" width="10.4285714285714" customWidth="1"/>
    <col min="6" max="6" width="17" customWidth="1"/>
  </cols>
  <sheetData>
    <row r="1" spans="1:7">
      <c r="A1" s="6" t="s">
        <v>788</v>
      </c>
      <c r="B1" s="6"/>
      <c r="C1" s="6"/>
      <c r="D1" s="6"/>
      <c r="E1" s="6"/>
      <c r="F1" s="6"/>
      <c r="G1" s="7"/>
    </row>
    <row r="2" spans="1:7">
      <c r="A2" s="6"/>
      <c r="B2" s="6"/>
      <c r="C2" s="6"/>
      <c r="D2" s="6"/>
      <c r="E2" s="6"/>
      <c r="F2" s="6"/>
      <c r="G2" s="7"/>
    </row>
    <row r="3" spans="1:7">
      <c r="A3" s="6"/>
      <c r="B3" s="6"/>
      <c r="C3" s="6"/>
      <c r="D3" s="6"/>
      <c r="E3" s="6"/>
      <c r="F3" s="6"/>
      <c r="G3" s="7"/>
    </row>
    <row r="4" ht="30" spans="1:7">
      <c r="A4" s="8" t="s">
        <v>70</v>
      </c>
      <c r="B4" s="9" t="s">
        <v>492</v>
      </c>
      <c r="C4" s="9" t="s">
        <v>286</v>
      </c>
      <c r="D4" s="9" t="s">
        <v>73</v>
      </c>
      <c r="E4" s="9" t="s">
        <v>74</v>
      </c>
      <c r="F4" s="10" t="s">
        <v>567</v>
      </c>
      <c r="G4" s="7"/>
    </row>
    <row r="5" ht="28.5" spans="1:6">
      <c r="A5" s="11">
        <v>1</v>
      </c>
      <c r="B5" s="12" t="s">
        <v>789</v>
      </c>
      <c r="C5" s="12" t="s">
        <v>790</v>
      </c>
      <c r="D5" s="12">
        <v>1</v>
      </c>
      <c r="E5" s="12">
        <v>0</v>
      </c>
      <c r="F5" s="13">
        <f t="shared" ref="F5:F11" si="0">D5-E5</f>
        <v>1</v>
      </c>
    </row>
    <row r="6" ht="28.5" spans="1:6">
      <c r="A6" s="11">
        <v>2</v>
      </c>
      <c r="B6" s="12" t="s">
        <v>791</v>
      </c>
      <c r="C6" s="12" t="s">
        <v>792</v>
      </c>
      <c r="D6" s="12">
        <v>1</v>
      </c>
      <c r="E6" s="12">
        <v>0</v>
      </c>
      <c r="F6" s="13">
        <f t="shared" si="0"/>
        <v>1</v>
      </c>
    </row>
    <row r="7" ht="28.5" spans="1:6">
      <c r="A7" s="11">
        <v>3</v>
      </c>
      <c r="B7" s="12" t="s">
        <v>793</v>
      </c>
      <c r="C7" s="12" t="s">
        <v>794</v>
      </c>
      <c r="D7" s="12">
        <v>1</v>
      </c>
      <c r="E7" s="12">
        <v>0</v>
      </c>
      <c r="F7" s="13">
        <f t="shared" si="0"/>
        <v>1</v>
      </c>
    </row>
    <row r="8" ht="28.5" spans="1:6">
      <c r="A8" s="11">
        <v>4</v>
      </c>
      <c r="B8" s="12" t="s">
        <v>793</v>
      </c>
      <c r="C8" s="12" t="s">
        <v>795</v>
      </c>
      <c r="D8" s="12">
        <v>1</v>
      </c>
      <c r="E8" s="12">
        <v>0</v>
      </c>
      <c r="F8" s="13">
        <f t="shared" si="0"/>
        <v>1</v>
      </c>
    </row>
    <row r="9" ht="28.5" spans="1:6">
      <c r="A9" s="11">
        <v>5</v>
      </c>
      <c r="B9" s="12" t="s">
        <v>796</v>
      </c>
      <c r="C9" s="12" t="s">
        <v>797</v>
      </c>
      <c r="D9" s="12">
        <v>1</v>
      </c>
      <c r="E9" s="12"/>
      <c r="F9" s="13">
        <f t="shared" si="0"/>
        <v>1</v>
      </c>
    </row>
    <row r="10" ht="28.5" spans="1:6">
      <c r="A10" s="11">
        <v>6</v>
      </c>
      <c r="B10" s="12" t="s">
        <v>798</v>
      </c>
      <c r="C10" s="12" t="s">
        <v>799</v>
      </c>
      <c r="D10" s="12">
        <v>1</v>
      </c>
      <c r="E10" s="12"/>
      <c r="F10" s="13">
        <f t="shared" si="0"/>
        <v>1</v>
      </c>
    </row>
    <row r="11" ht="28.5" spans="1:6">
      <c r="A11" s="11">
        <v>7</v>
      </c>
      <c r="B11" s="12" t="s">
        <v>800</v>
      </c>
      <c r="C11" s="12" t="s">
        <v>801</v>
      </c>
      <c r="D11" s="12">
        <v>1</v>
      </c>
      <c r="E11" s="12"/>
      <c r="F11" s="13">
        <f t="shared" si="0"/>
        <v>1</v>
      </c>
    </row>
    <row r="12" ht="28.5" spans="1:6">
      <c r="A12" s="11">
        <v>8</v>
      </c>
      <c r="B12" s="12" t="s">
        <v>802</v>
      </c>
      <c r="C12" s="12" t="s">
        <v>803</v>
      </c>
      <c r="D12" s="12">
        <v>1</v>
      </c>
      <c r="E12" s="12"/>
      <c r="F12" s="13">
        <v>1</v>
      </c>
    </row>
    <row r="13" ht="28.5" spans="1:6">
      <c r="A13" s="11">
        <v>9</v>
      </c>
      <c r="B13" s="12" t="s">
        <v>804</v>
      </c>
      <c r="C13" s="12" t="s">
        <v>805</v>
      </c>
      <c r="D13" s="12">
        <v>1</v>
      </c>
      <c r="E13" s="12"/>
      <c r="F13" s="13">
        <f t="shared" ref="F13:F36" si="1">D13-E13</f>
        <v>1</v>
      </c>
    </row>
    <row r="14" ht="28.5" spans="1:6">
      <c r="A14" s="11">
        <v>10</v>
      </c>
      <c r="B14" s="12" t="s">
        <v>806</v>
      </c>
      <c r="C14" s="12" t="s">
        <v>807</v>
      </c>
      <c r="D14" s="12">
        <v>1</v>
      </c>
      <c r="E14" s="12"/>
      <c r="F14" s="13">
        <f t="shared" si="1"/>
        <v>1</v>
      </c>
    </row>
    <row r="15" ht="28.5" spans="1:6">
      <c r="A15" s="11">
        <v>11</v>
      </c>
      <c r="B15" s="12" t="s">
        <v>808</v>
      </c>
      <c r="C15" s="12" t="s">
        <v>809</v>
      </c>
      <c r="D15" s="12">
        <v>1</v>
      </c>
      <c r="E15" s="12"/>
      <c r="F15" s="13">
        <f t="shared" si="1"/>
        <v>1</v>
      </c>
    </row>
    <row r="16" ht="28.5" spans="1:6">
      <c r="A16" s="11">
        <v>12</v>
      </c>
      <c r="B16" s="12" t="s">
        <v>810</v>
      </c>
      <c r="C16" s="12" t="s">
        <v>811</v>
      </c>
      <c r="D16" s="12">
        <v>1</v>
      </c>
      <c r="E16" s="12"/>
      <c r="F16" s="13">
        <f t="shared" si="1"/>
        <v>1</v>
      </c>
    </row>
    <row r="17" ht="28.5" spans="1:6">
      <c r="A17" s="11">
        <v>13</v>
      </c>
      <c r="B17" s="12" t="s">
        <v>791</v>
      </c>
      <c r="C17" s="12" t="s">
        <v>812</v>
      </c>
      <c r="D17" s="12">
        <v>1</v>
      </c>
      <c r="E17" s="12"/>
      <c r="F17" s="13">
        <f t="shared" si="1"/>
        <v>1</v>
      </c>
    </row>
    <row r="18" ht="28.5" spans="1:6">
      <c r="A18" s="11">
        <v>14</v>
      </c>
      <c r="B18" s="12" t="s">
        <v>791</v>
      </c>
      <c r="C18" s="12" t="s">
        <v>813</v>
      </c>
      <c r="D18" s="12">
        <v>1</v>
      </c>
      <c r="E18" s="12"/>
      <c r="F18" s="13">
        <f t="shared" si="1"/>
        <v>1</v>
      </c>
    </row>
    <row r="19" ht="28.5" spans="1:6">
      <c r="A19" s="11">
        <v>15</v>
      </c>
      <c r="B19" s="12" t="s">
        <v>814</v>
      </c>
      <c r="C19" s="12" t="s">
        <v>815</v>
      </c>
      <c r="D19" s="12">
        <v>1</v>
      </c>
      <c r="E19" s="12"/>
      <c r="F19" s="13">
        <f t="shared" si="1"/>
        <v>1</v>
      </c>
    </row>
    <row r="20" ht="28.5" spans="1:6">
      <c r="A20" s="11">
        <v>16</v>
      </c>
      <c r="B20" s="12" t="s">
        <v>816</v>
      </c>
      <c r="C20" s="12" t="s">
        <v>817</v>
      </c>
      <c r="D20" s="12">
        <v>1</v>
      </c>
      <c r="E20" s="12"/>
      <c r="F20" s="13">
        <f t="shared" si="1"/>
        <v>1</v>
      </c>
    </row>
    <row r="21" ht="28.5" spans="1:6">
      <c r="A21" s="11">
        <v>17</v>
      </c>
      <c r="B21" s="12" t="s">
        <v>816</v>
      </c>
      <c r="C21" s="12" t="s">
        <v>818</v>
      </c>
      <c r="D21" s="12">
        <v>3</v>
      </c>
      <c r="E21" s="12"/>
      <c r="F21" s="13">
        <f t="shared" si="1"/>
        <v>3</v>
      </c>
    </row>
    <row r="22" ht="28.5" spans="1:6">
      <c r="A22" s="11">
        <v>18</v>
      </c>
      <c r="B22" s="12" t="s">
        <v>819</v>
      </c>
      <c r="C22" s="12" t="s">
        <v>820</v>
      </c>
      <c r="D22" s="12">
        <v>1</v>
      </c>
      <c r="E22" s="12"/>
      <c r="F22" s="13">
        <f t="shared" si="1"/>
        <v>1</v>
      </c>
    </row>
    <row r="23" ht="28.5" spans="1:6">
      <c r="A23" s="11">
        <v>19</v>
      </c>
      <c r="B23" s="12" t="s">
        <v>821</v>
      </c>
      <c r="C23" s="12" t="s">
        <v>822</v>
      </c>
      <c r="D23" s="12">
        <v>1</v>
      </c>
      <c r="E23" s="12"/>
      <c r="F23" s="13">
        <f t="shared" si="1"/>
        <v>1</v>
      </c>
    </row>
    <row r="24" ht="28.5" spans="1:6">
      <c r="A24" s="11">
        <v>20</v>
      </c>
      <c r="B24" s="12" t="s">
        <v>823</v>
      </c>
      <c r="C24" s="12" t="s">
        <v>824</v>
      </c>
      <c r="D24" s="12">
        <v>1</v>
      </c>
      <c r="E24" s="12"/>
      <c r="F24" s="13">
        <f t="shared" si="1"/>
        <v>1</v>
      </c>
    </row>
    <row r="25" ht="28.5" spans="1:6">
      <c r="A25" s="11">
        <v>21</v>
      </c>
      <c r="B25" s="12" t="s">
        <v>825</v>
      </c>
      <c r="C25" s="12" t="s">
        <v>826</v>
      </c>
      <c r="D25" s="12">
        <v>2</v>
      </c>
      <c r="E25" s="12"/>
      <c r="F25" s="13">
        <f t="shared" si="1"/>
        <v>2</v>
      </c>
    </row>
    <row r="26" ht="28.5" spans="1:6">
      <c r="A26" s="11">
        <v>22</v>
      </c>
      <c r="B26" s="12" t="s">
        <v>827</v>
      </c>
      <c r="C26" s="12" t="s">
        <v>828</v>
      </c>
      <c r="D26" s="12">
        <v>1</v>
      </c>
      <c r="E26" s="12"/>
      <c r="F26" s="13">
        <f t="shared" si="1"/>
        <v>1</v>
      </c>
    </row>
    <row r="27" ht="28.5" spans="1:6">
      <c r="A27" s="11">
        <v>23</v>
      </c>
      <c r="B27" s="12" t="s">
        <v>829</v>
      </c>
      <c r="C27" s="12" t="s">
        <v>830</v>
      </c>
      <c r="D27" s="12">
        <v>1</v>
      </c>
      <c r="E27" s="12"/>
      <c r="F27" s="13">
        <f t="shared" si="1"/>
        <v>1</v>
      </c>
    </row>
    <row r="28" ht="28.5" spans="1:6">
      <c r="A28" s="11">
        <v>24</v>
      </c>
      <c r="B28" s="12" t="s">
        <v>831</v>
      </c>
      <c r="C28" s="12" t="s">
        <v>832</v>
      </c>
      <c r="D28" s="12">
        <v>1</v>
      </c>
      <c r="E28" s="12"/>
      <c r="F28" s="13">
        <f t="shared" si="1"/>
        <v>1</v>
      </c>
    </row>
    <row r="29" ht="28.5" spans="1:6">
      <c r="A29" s="11">
        <v>25</v>
      </c>
      <c r="B29" s="12" t="s">
        <v>833</v>
      </c>
      <c r="C29" s="12" t="s">
        <v>834</v>
      </c>
      <c r="D29" s="12">
        <v>1</v>
      </c>
      <c r="E29" s="12"/>
      <c r="F29" s="13">
        <f t="shared" si="1"/>
        <v>1</v>
      </c>
    </row>
    <row r="30" ht="28.5" spans="1:6">
      <c r="A30" s="11">
        <v>26</v>
      </c>
      <c r="B30" s="12" t="s">
        <v>835</v>
      </c>
      <c r="C30" s="12" t="s">
        <v>836</v>
      </c>
      <c r="D30" s="12">
        <v>1</v>
      </c>
      <c r="E30" s="12"/>
      <c r="F30" s="13">
        <f t="shared" si="1"/>
        <v>1</v>
      </c>
    </row>
    <row r="31" ht="28.5" spans="1:6">
      <c r="A31" s="11">
        <v>27</v>
      </c>
      <c r="B31" s="12" t="s">
        <v>837</v>
      </c>
      <c r="C31" s="12" t="s">
        <v>838</v>
      </c>
      <c r="D31" s="12">
        <v>1</v>
      </c>
      <c r="E31" s="12"/>
      <c r="F31" s="13">
        <f t="shared" si="1"/>
        <v>1</v>
      </c>
    </row>
    <row r="32" ht="28.5" spans="1:6">
      <c r="A32" s="11">
        <v>28</v>
      </c>
      <c r="B32" s="12" t="s">
        <v>839</v>
      </c>
      <c r="C32" s="12"/>
      <c r="D32" s="12">
        <v>1</v>
      </c>
      <c r="E32" s="12"/>
      <c r="F32" s="13">
        <f t="shared" si="1"/>
        <v>1</v>
      </c>
    </row>
    <row r="33" ht="28.5" spans="1:6">
      <c r="A33" s="11">
        <v>29</v>
      </c>
      <c r="B33" s="12" t="s">
        <v>840</v>
      </c>
      <c r="C33" s="12" t="s">
        <v>841</v>
      </c>
      <c r="D33" s="12">
        <v>3</v>
      </c>
      <c r="E33" s="12"/>
      <c r="F33" s="13">
        <f t="shared" si="1"/>
        <v>3</v>
      </c>
    </row>
    <row r="34" ht="28.5" spans="1:6">
      <c r="A34" s="11">
        <v>30</v>
      </c>
      <c r="B34" s="12" t="s">
        <v>842</v>
      </c>
      <c r="C34" s="12"/>
      <c r="D34" s="12">
        <v>1</v>
      </c>
      <c r="E34" s="12"/>
      <c r="F34" s="13">
        <f t="shared" si="1"/>
        <v>1</v>
      </c>
    </row>
    <row r="35" ht="28.5" spans="1:6">
      <c r="A35" s="11">
        <v>31</v>
      </c>
      <c r="B35" s="12" t="s">
        <v>843</v>
      </c>
      <c r="C35" s="12" t="s">
        <v>844</v>
      </c>
      <c r="D35" s="12">
        <v>1</v>
      </c>
      <c r="E35" s="12"/>
      <c r="F35" s="13">
        <f t="shared" si="1"/>
        <v>1</v>
      </c>
    </row>
    <row r="36" ht="28.5" spans="1:6">
      <c r="A36" s="11">
        <v>32</v>
      </c>
      <c r="B36" s="12" t="s">
        <v>845</v>
      </c>
      <c r="C36" s="12" t="s">
        <v>846</v>
      </c>
      <c r="D36" s="12">
        <v>1</v>
      </c>
      <c r="E36" s="12"/>
      <c r="F36" s="13">
        <f t="shared" si="1"/>
        <v>1</v>
      </c>
    </row>
    <row r="37" ht="28.5" spans="1:6">
      <c r="A37" s="11">
        <v>33</v>
      </c>
      <c r="B37" s="12" t="s">
        <v>847</v>
      </c>
      <c r="C37" s="12" t="s">
        <v>848</v>
      </c>
      <c r="D37" s="12">
        <v>1</v>
      </c>
      <c r="E37" s="12"/>
      <c r="F37" s="13">
        <f t="shared" ref="F37:F52" si="2">D37-E37</f>
        <v>1</v>
      </c>
    </row>
    <row r="38" ht="28.5" spans="1:6">
      <c r="A38" s="11">
        <v>34</v>
      </c>
      <c r="B38" s="14" t="s">
        <v>849</v>
      </c>
      <c r="C38" s="14" t="s">
        <v>850</v>
      </c>
      <c r="D38" s="12">
        <v>2</v>
      </c>
      <c r="E38" s="12"/>
      <c r="F38" s="13">
        <f t="shared" si="2"/>
        <v>2</v>
      </c>
    </row>
    <row r="39" ht="28.5" spans="1:6">
      <c r="A39" s="11">
        <v>35</v>
      </c>
      <c r="B39" s="14" t="s">
        <v>849</v>
      </c>
      <c r="C39" s="14" t="s">
        <v>851</v>
      </c>
      <c r="D39" s="12">
        <v>1</v>
      </c>
      <c r="E39" s="12"/>
      <c r="F39" s="13">
        <f t="shared" si="2"/>
        <v>1</v>
      </c>
    </row>
    <row r="40" ht="28.5" spans="1:6">
      <c r="A40" s="11">
        <v>36</v>
      </c>
      <c r="B40" s="14" t="s">
        <v>849</v>
      </c>
      <c r="C40" s="14" t="s">
        <v>852</v>
      </c>
      <c r="D40" s="12">
        <v>2</v>
      </c>
      <c r="E40" s="12"/>
      <c r="F40" s="13">
        <f t="shared" si="2"/>
        <v>2</v>
      </c>
    </row>
    <row r="41" ht="28.5" spans="1:6">
      <c r="A41" s="11">
        <v>37</v>
      </c>
      <c r="B41" s="14" t="s">
        <v>853</v>
      </c>
      <c r="C41" s="14" t="s">
        <v>854</v>
      </c>
      <c r="D41" s="12">
        <v>1</v>
      </c>
      <c r="E41" s="12"/>
      <c r="F41" s="13">
        <f t="shared" si="2"/>
        <v>1</v>
      </c>
    </row>
    <row r="42" ht="28.5" spans="1:6">
      <c r="A42" s="11">
        <v>38</v>
      </c>
      <c r="B42" s="14" t="s">
        <v>855</v>
      </c>
      <c r="C42" s="14"/>
      <c r="D42" s="12">
        <v>1</v>
      </c>
      <c r="E42" s="12"/>
      <c r="F42" s="13">
        <f t="shared" si="2"/>
        <v>1</v>
      </c>
    </row>
    <row r="43" ht="28.5" spans="1:6">
      <c r="A43" s="11">
        <v>39</v>
      </c>
      <c r="B43" s="12" t="s">
        <v>856</v>
      </c>
      <c r="C43" s="12" t="s">
        <v>857</v>
      </c>
      <c r="D43" s="12">
        <v>1</v>
      </c>
      <c r="E43" s="12"/>
      <c r="F43" s="13">
        <f t="shared" si="2"/>
        <v>1</v>
      </c>
    </row>
    <row r="44" ht="28.5" spans="1:6">
      <c r="A44" s="11">
        <v>40</v>
      </c>
      <c r="B44" s="12" t="s">
        <v>858</v>
      </c>
      <c r="C44" s="12"/>
      <c r="D44" s="12">
        <v>1</v>
      </c>
      <c r="E44" s="12"/>
      <c r="F44" s="13">
        <f t="shared" si="2"/>
        <v>1</v>
      </c>
    </row>
    <row r="45" ht="28.5" spans="1:6">
      <c r="A45" s="11">
        <v>41</v>
      </c>
      <c r="B45" s="12" t="s">
        <v>859</v>
      </c>
      <c r="C45" s="12" t="s">
        <v>860</v>
      </c>
      <c r="D45" s="12">
        <v>2</v>
      </c>
      <c r="E45" s="12"/>
      <c r="F45" s="13">
        <f t="shared" si="2"/>
        <v>2</v>
      </c>
    </row>
    <row r="46" ht="28.5" spans="1:6">
      <c r="A46" s="11">
        <v>42</v>
      </c>
      <c r="B46" s="12" t="s">
        <v>861</v>
      </c>
      <c r="C46" s="12"/>
      <c r="D46" s="12">
        <v>1</v>
      </c>
      <c r="E46" s="12"/>
      <c r="F46" s="13">
        <f t="shared" si="2"/>
        <v>1</v>
      </c>
    </row>
    <row r="47" ht="28.5" spans="1:6">
      <c r="A47" s="11">
        <v>43</v>
      </c>
      <c r="B47" s="12" t="s">
        <v>862</v>
      </c>
      <c r="C47" s="12" t="s">
        <v>863</v>
      </c>
      <c r="D47" s="12">
        <v>1</v>
      </c>
      <c r="E47" s="12"/>
      <c r="F47" s="13">
        <f t="shared" si="2"/>
        <v>1</v>
      </c>
    </row>
    <row r="48" ht="28.5" spans="1:6">
      <c r="A48" s="11">
        <v>44</v>
      </c>
      <c r="B48" s="12" t="s">
        <v>864</v>
      </c>
      <c r="C48" s="12"/>
      <c r="D48" s="12">
        <v>1</v>
      </c>
      <c r="E48" s="12"/>
      <c r="F48" s="13">
        <f t="shared" si="2"/>
        <v>1</v>
      </c>
    </row>
    <row r="49" ht="28.5" spans="1:6">
      <c r="A49" s="11">
        <v>45</v>
      </c>
      <c r="B49" s="12" t="s">
        <v>865</v>
      </c>
      <c r="C49" s="12"/>
      <c r="D49" s="12">
        <v>1</v>
      </c>
      <c r="E49" s="12"/>
      <c r="F49" s="13">
        <f t="shared" si="2"/>
        <v>1</v>
      </c>
    </row>
    <row r="50" ht="28.5" spans="1:6">
      <c r="A50" s="11">
        <v>46</v>
      </c>
      <c r="B50" s="12" t="s">
        <v>866</v>
      </c>
      <c r="C50" s="12"/>
      <c r="D50" s="12">
        <v>3</v>
      </c>
      <c r="E50" s="12"/>
      <c r="F50" s="13">
        <f t="shared" si="2"/>
        <v>3</v>
      </c>
    </row>
    <row r="51" ht="28.5" spans="1:6">
      <c r="A51" s="11">
        <v>47</v>
      </c>
      <c r="B51" s="12" t="s">
        <v>867</v>
      </c>
      <c r="C51" s="12"/>
      <c r="D51" s="12">
        <v>1</v>
      </c>
      <c r="E51" s="12"/>
      <c r="F51" s="13">
        <f t="shared" si="2"/>
        <v>1</v>
      </c>
    </row>
    <row r="52" ht="28.5" spans="1:6">
      <c r="A52" s="11">
        <v>48</v>
      </c>
      <c r="B52" s="15" t="s">
        <v>868</v>
      </c>
      <c r="C52" s="12"/>
      <c r="D52" s="12"/>
      <c r="E52" s="12"/>
      <c r="F52" s="13">
        <f t="shared" si="2"/>
        <v>0</v>
      </c>
    </row>
    <row r="53" ht="28.5" spans="1:6">
      <c r="A53" s="11">
        <v>49</v>
      </c>
      <c r="B53" s="16" t="s">
        <v>869</v>
      </c>
      <c r="C53" s="17"/>
      <c r="D53" s="12">
        <v>1</v>
      </c>
      <c r="E53" s="17"/>
      <c r="F53" s="13">
        <f t="shared" ref="F53:F82" si="3">D53-E53</f>
        <v>1</v>
      </c>
    </row>
    <row r="54" ht="28.5" spans="1:6">
      <c r="A54" s="11">
        <v>50</v>
      </c>
      <c r="B54" s="16" t="s">
        <v>870</v>
      </c>
      <c r="C54" s="17"/>
      <c r="D54" s="12">
        <v>1</v>
      </c>
      <c r="E54" s="17"/>
      <c r="F54" s="13">
        <f t="shared" si="3"/>
        <v>1</v>
      </c>
    </row>
    <row r="55" ht="28.5" spans="1:6">
      <c r="A55" s="11">
        <v>51</v>
      </c>
      <c r="B55" s="16" t="s">
        <v>871</v>
      </c>
      <c r="C55" s="17"/>
      <c r="D55" s="12">
        <v>2</v>
      </c>
      <c r="E55" s="17"/>
      <c r="F55" s="13">
        <f t="shared" si="3"/>
        <v>2</v>
      </c>
    </row>
    <row r="56" ht="28.5" spans="1:6">
      <c r="A56" s="11">
        <v>52</v>
      </c>
      <c r="B56" s="16" t="s">
        <v>872</v>
      </c>
      <c r="C56" s="17"/>
      <c r="D56" s="12">
        <v>1</v>
      </c>
      <c r="E56" s="17"/>
      <c r="F56" s="13">
        <f t="shared" si="3"/>
        <v>1</v>
      </c>
    </row>
    <row r="57" ht="28.5" spans="1:6">
      <c r="A57" s="11">
        <v>53</v>
      </c>
      <c r="B57" s="16" t="s">
        <v>873</v>
      </c>
      <c r="C57" s="17"/>
      <c r="D57" s="12">
        <v>1</v>
      </c>
      <c r="E57" s="17"/>
      <c r="F57" s="13">
        <f t="shared" si="3"/>
        <v>1</v>
      </c>
    </row>
    <row r="58" ht="28.5" spans="1:6">
      <c r="A58" s="11">
        <v>54</v>
      </c>
      <c r="B58" s="16" t="s">
        <v>874</v>
      </c>
      <c r="C58" s="17"/>
      <c r="D58" s="12">
        <v>3</v>
      </c>
      <c r="E58" s="17"/>
      <c r="F58" s="13">
        <f t="shared" si="3"/>
        <v>3</v>
      </c>
    </row>
    <row r="59" ht="28.5" spans="1:6">
      <c r="A59" s="11">
        <v>55</v>
      </c>
      <c r="B59" s="16" t="s">
        <v>875</v>
      </c>
      <c r="C59" s="17"/>
      <c r="D59" s="12">
        <v>2</v>
      </c>
      <c r="E59" s="17"/>
      <c r="F59" s="13">
        <f t="shared" si="3"/>
        <v>2</v>
      </c>
    </row>
    <row r="60" ht="28.5" spans="1:6">
      <c r="A60" s="11">
        <v>56</v>
      </c>
      <c r="B60" s="16" t="s">
        <v>876</v>
      </c>
      <c r="C60" s="17"/>
      <c r="D60" s="12">
        <v>3</v>
      </c>
      <c r="E60" s="17"/>
      <c r="F60" s="13">
        <f t="shared" si="3"/>
        <v>3</v>
      </c>
    </row>
    <row r="61" ht="28.5" spans="1:6">
      <c r="A61" s="11">
        <v>57</v>
      </c>
      <c r="B61" s="16" t="s">
        <v>877</v>
      </c>
      <c r="C61" s="17"/>
      <c r="D61" s="12">
        <v>2</v>
      </c>
      <c r="E61" s="17"/>
      <c r="F61" s="13">
        <f t="shared" si="3"/>
        <v>2</v>
      </c>
    </row>
    <row r="62" ht="28.5" spans="1:6">
      <c r="A62" s="11">
        <v>58</v>
      </c>
      <c r="B62" s="16" t="s">
        <v>878</v>
      </c>
      <c r="C62" s="17"/>
      <c r="D62" s="12">
        <v>3</v>
      </c>
      <c r="E62" s="17"/>
      <c r="F62" s="13">
        <f t="shared" si="3"/>
        <v>3</v>
      </c>
    </row>
    <row r="63" ht="28.5" spans="1:6">
      <c r="A63" s="11">
        <v>59</v>
      </c>
      <c r="B63" s="16" t="s">
        <v>879</v>
      </c>
      <c r="C63" s="17"/>
      <c r="D63" s="12">
        <v>3</v>
      </c>
      <c r="E63" s="17"/>
      <c r="F63" s="13">
        <f t="shared" si="3"/>
        <v>3</v>
      </c>
    </row>
    <row r="64" ht="28.5" spans="1:6">
      <c r="A64" s="11">
        <v>60</v>
      </c>
      <c r="B64" s="16" t="s">
        <v>880</v>
      </c>
      <c r="C64" s="17"/>
      <c r="D64" s="12">
        <v>1</v>
      </c>
      <c r="E64" s="17"/>
      <c r="F64" s="13">
        <f t="shared" si="3"/>
        <v>1</v>
      </c>
    </row>
    <row r="65" ht="28.5" spans="1:6">
      <c r="A65" s="11">
        <v>61</v>
      </c>
      <c r="B65" s="16" t="s">
        <v>881</v>
      </c>
      <c r="C65" s="17"/>
      <c r="D65" s="12">
        <v>4</v>
      </c>
      <c r="E65" s="17"/>
      <c r="F65" s="13">
        <f t="shared" si="3"/>
        <v>4</v>
      </c>
    </row>
    <row r="66" ht="28.5" spans="1:6">
      <c r="A66" s="11">
        <v>62</v>
      </c>
      <c r="B66" s="16" t="s">
        <v>882</v>
      </c>
      <c r="C66" s="17"/>
      <c r="D66" s="12">
        <v>2</v>
      </c>
      <c r="E66" s="17"/>
      <c r="F66" s="13">
        <f t="shared" si="3"/>
        <v>2</v>
      </c>
    </row>
    <row r="67" ht="28.5" spans="1:6">
      <c r="A67" s="11">
        <v>63</v>
      </c>
      <c r="B67" s="16" t="s">
        <v>883</v>
      </c>
      <c r="C67" s="17"/>
      <c r="D67" s="12">
        <v>1</v>
      </c>
      <c r="E67" s="17"/>
      <c r="F67" s="13">
        <f t="shared" si="3"/>
        <v>1</v>
      </c>
    </row>
    <row r="68" ht="28.5" spans="1:6">
      <c r="A68" s="11">
        <v>64</v>
      </c>
      <c r="B68" s="16" t="s">
        <v>884</v>
      </c>
      <c r="C68" s="17"/>
      <c r="D68" s="12">
        <v>1</v>
      </c>
      <c r="E68" s="17"/>
      <c r="F68" s="13">
        <f t="shared" si="3"/>
        <v>1</v>
      </c>
    </row>
    <row r="69" ht="28.5" spans="1:6">
      <c r="A69" s="11">
        <v>65</v>
      </c>
      <c r="B69" s="16" t="s">
        <v>885</v>
      </c>
      <c r="C69" s="17"/>
      <c r="D69" s="12">
        <v>1</v>
      </c>
      <c r="E69" s="17"/>
      <c r="F69" s="13">
        <f t="shared" si="3"/>
        <v>1</v>
      </c>
    </row>
    <row r="70" ht="28.5" spans="1:6">
      <c r="A70" s="11">
        <v>66</v>
      </c>
      <c r="B70" s="16" t="s">
        <v>886</v>
      </c>
      <c r="C70" s="17"/>
      <c r="D70" s="12">
        <v>1</v>
      </c>
      <c r="E70" s="17"/>
      <c r="F70" s="13">
        <f t="shared" si="3"/>
        <v>1</v>
      </c>
    </row>
    <row r="71" ht="28.5" spans="1:6">
      <c r="A71" s="11">
        <v>67</v>
      </c>
      <c r="B71" s="16" t="s">
        <v>887</v>
      </c>
      <c r="C71" s="17"/>
      <c r="D71" s="12">
        <v>1</v>
      </c>
      <c r="E71" s="17"/>
      <c r="F71" s="13">
        <f t="shared" si="3"/>
        <v>1</v>
      </c>
    </row>
    <row r="72" ht="28.5" spans="1:6">
      <c r="A72" s="11">
        <v>68</v>
      </c>
      <c r="B72" s="16" t="s">
        <v>888</v>
      </c>
      <c r="C72" s="12"/>
      <c r="D72" s="12">
        <v>2</v>
      </c>
      <c r="E72" s="17"/>
      <c r="F72" s="13">
        <f t="shared" si="3"/>
        <v>2</v>
      </c>
    </row>
    <row r="73" ht="28.5" spans="1:6">
      <c r="A73" s="11">
        <v>69</v>
      </c>
      <c r="B73" s="16" t="s">
        <v>889</v>
      </c>
      <c r="C73" s="12" t="s">
        <v>890</v>
      </c>
      <c r="D73" s="12">
        <v>1</v>
      </c>
      <c r="E73" s="17"/>
      <c r="F73" s="13">
        <f t="shared" si="3"/>
        <v>1</v>
      </c>
    </row>
    <row r="74" ht="28.5" spans="1:6">
      <c r="A74" s="11">
        <v>70</v>
      </c>
      <c r="B74" s="16" t="s">
        <v>891</v>
      </c>
      <c r="C74" s="12" t="s">
        <v>892</v>
      </c>
      <c r="D74" s="12">
        <v>1</v>
      </c>
      <c r="E74" s="17"/>
      <c r="F74" s="13">
        <f t="shared" si="3"/>
        <v>1</v>
      </c>
    </row>
    <row r="75" ht="28.5" spans="1:6">
      <c r="A75" s="11">
        <v>71</v>
      </c>
      <c r="B75" s="16" t="s">
        <v>893</v>
      </c>
      <c r="C75" s="12" t="s">
        <v>894</v>
      </c>
      <c r="D75" s="12">
        <v>2</v>
      </c>
      <c r="E75" s="17"/>
      <c r="F75" s="13">
        <f t="shared" si="3"/>
        <v>2</v>
      </c>
    </row>
    <row r="76" ht="28.5" spans="1:6">
      <c r="A76" s="11">
        <v>72</v>
      </c>
      <c r="B76" s="18" t="s">
        <v>895</v>
      </c>
      <c r="C76" s="12"/>
      <c r="D76" s="12"/>
      <c r="E76" s="17"/>
      <c r="F76" s="13">
        <f t="shared" si="3"/>
        <v>0</v>
      </c>
    </row>
    <row r="77" ht="28.5" spans="1:6">
      <c r="A77" s="11">
        <v>73</v>
      </c>
      <c r="B77" s="12" t="s">
        <v>896</v>
      </c>
      <c r="C77" s="12"/>
      <c r="D77" s="12">
        <v>1</v>
      </c>
      <c r="E77" s="17"/>
      <c r="F77" s="13">
        <f t="shared" si="3"/>
        <v>1</v>
      </c>
    </row>
    <row r="78" ht="28.5" spans="1:6">
      <c r="A78" s="11">
        <v>74</v>
      </c>
      <c r="B78" s="12" t="s">
        <v>897</v>
      </c>
      <c r="C78" s="12"/>
      <c r="D78" s="12">
        <v>4</v>
      </c>
      <c r="E78" s="17"/>
      <c r="F78" s="13">
        <f t="shared" si="3"/>
        <v>4</v>
      </c>
    </row>
    <row r="79" ht="28.5" spans="1:6">
      <c r="A79" s="11">
        <v>75</v>
      </c>
      <c r="B79" s="12" t="s">
        <v>898</v>
      </c>
      <c r="C79" s="12"/>
      <c r="D79" s="12">
        <v>1</v>
      </c>
      <c r="E79" s="17"/>
      <c r="F79" s="13">
        <f t="shared" si="3"/>
        <v>1</v>
      </c>
    </row>
    <row r="80" ht="28.5" spans="1:6">
      <c r="A80" s="11">
        <v>76</v>
      </c>
      <c r="B80" s="12" t="s">
        <v>899</v>
      </c>
      <c r="C80" s="12" t="s">
        <v>900</v>
      </c>
      <c r="D80" s="12">
        <v>1</v>
      </c>
      <c r="E80" s="17"/>
      <c r="F80" s="13">
        <f t="shared" si="3"/>
        <v>1</v>
      </c>
    </row>
    <row r="81" ht="28.5" spans="1:6">
      <c r="A81" s="11">
        <v>77</v>
      </c>
      <c r="B81" s="18" t="s">
        <v>901</v>
      </c>
      <c r="C81" s="12"/>
      <c r="D81" s="12"/>
      <c r="E81" s="17"/>
      <c r="F81" s="13">
        <f t="shared" si="3"/>
        <v>0</v>
      </c>
    </row>
    <row r="82" ht="28.5" spans="1:6">
      <c r="A82" s="11">
        <v>78</v>
      </c>
      <c r="B82" s="19" t="s">
        <v>902</v>
      </c>
      <c r="C82" s="12"/>
      <c r="D82" s="12">
        <v>3</v>
      </c>
      <c r="E82" s="17"/>
      <c r="F82" s="13">
        <f t="shared" si="3"/>
        <v>3</v>
      </c>
    </row>
    <row r="83" ht="28.5" spans="1:6">
      <c r="A83" s="11">
        <v>79</v>
      </c>
      <c r="B83" s="19" t="s">
        <v>903</v>
      </c>
      <c r="C83" s="12"/>
      <c r="D83" s="12">
        <v>7</v>
      </c>
      <c r="E83" s="17"/>
      <c r="F83" s="13">
        <f t="shared" ref="F83:F106" si="4">D83-E83</f>
        <v>7</v>
      </c>
    </row>
    <row r="84" ht="28.5" spans="1:6">
      <c r="A84" s="11">
        <v>80</v>
      </c>
      <c r="B84" s="19" t="s">
        <v>904</v>
      </c>
      <c r="C84" s="12"/>
      <c r="D84" s="12">
        <v>2</v>
      </c>
      <c r="E84" s="17"/>
      <c r="F84" s="13">
        <f t="shared" si="4"/>
        <v>2</v>
      </c>
    </row>
    <row r="85" ht="28.5" spans="1:6">
      <c r="A85" s="11">
        <v>81</v>
      </c>
      <c r="B85" s="19" t="s">
        <v>905</v>
      </c>
      <c r="C85" s="12"/>
      <c r="D85" s="12">
        <v>1</v>
      </c>
      <c r="E85" s="17"/>
      <c r="F85" s="13">
        <f t="shared" si="4"/>
        <v>1</v>
      </c>
    </row>
    <row r="86" ht="28.5" spans="1:6">
      <c r="A86" s="11">
        <v>82</v>
      </c>
      <c r="B86" s="19" t="s">
        <v>906</v>
      </c>
      <c r="C86" s="12"/>
      <c r="D86" s="12">
        <v>2</v>
      </c>
      <c r="E86" s="17"/>
      <c r="F86" s="13">
        <f t="shared" si="4"/>
        <v>2</v>
      </c>
    </row>
    <row r="87" ht="28.5" spans="1:6">
      <c r="A87" s="11">
        <v>83</v>
      </c>
      <c r="B87" s="19" t="s">
        <v>907</v>
      </c>
      <c r="C87" s="12"/>
      <c r="D87" s="12">
        <v>1</v>
      </c>
      <c r="E87" s="17"/>
      <c r="F87" s="13">
        <f t="shared" si="4"/>
        <v>1</v>
      </c>
    </row>
    <row r="88" ht="28.5" spans="1:6">
      <c r="A88" s="11">
        <v>84</v>
      </c>
      <c r="B88" s="18" t="s">
        <v>908</v>
      </c>
      <c r="C88" s="12"/>
      <c r="D88" s="12"/>
      <c r="E88" s="17"/>
      <c r="F88" s="13">
        <f t="shared" si="4"/>
        <v>0</v>
      </c>
    </row>
    <row r="89" ht="28.5" spans="1:6">
      <c r="A89" s="11">
        <v>85</v>
      </c>
      <c r="B89" s="19" t="s">
        <v>909</v>
      </c>
      <c r="C89" s="12" t="s">
        <v>910</v>
      </c>
      <c r="D89" s="12">
        <v>1</v>
      </c>
      <c r="E89" s="17"/>
      <c r="F89" s="13">
        <f t="shared" si="4"/>
        <v>1</v>
      </c>
    </row>
    <row r="90" ht="28.5" spans="1:6">
      <c r="A90" s="11">
        <v>86</v>
      </c>
      <c r="B90" s="19" t="s">
        <v>909</v>
      </c>
      <c r="C90" s="12" t="s">
        <v>911</v>
      </c>
      <c r="D90" s="12">
        <v>1</v>
      </c>
      <c r="E90" s="17"/>
      <c r="F90" s="13">
        <f t="shared" si="4"/>
        <v>1</v>
      </c>
    </row>
    <row r="91" ht="28.5" spans="1:6">
      <c r="A91" s="11">
        <v>87</v>
      </c>
      <c r="B91" s="19" t="s">
        <v>912</v>
      </c>
      <c r="C91" s="12" t="s">
        <v>913</v>
      </c>
      <c r="D91" s="12">
        <v>1</v>
      </c>
      <c r="E91" s="17"/>
      <c r="F91" s="13">
        <f t="shared" si="4"/>
        <v>1</v>
      </c>
    </row>
    <row r="92" ht="28.5" spans="1:10">
      <c r="A92" s="11">
        <v>88</v>
      </c>
      <c r="B92" s="19" t="s">
        <v>912</v>
      </c>
      <c r="C92" s="12" t="s">
        <v>914</v>
      </c>
      <c r="D92" s="12">
        <v>1</v>
      </c>
      <c r="E92" s="17"/>
      <c r="F92" s="13">
        <f t="shared" si="4"/>
        <v>1</v>
      </c>
      <c r="J92"/>
    </row>
    <row r="93" ht="28.5" spans="1:6">
      <c r="A93" s="11">
        <v>89</v>
      </c>
      <c r="B93" s="19" t="s">
        <v>915</v>
      </c>
      <c r="C93" s="12" t="s">
        <v>916</v>
      </c>
      <c r="D93" s="12">
        <v>1</v>
      </c>
      <c r="E93" s="17"/>
      <c r="F93" s="13">
        <f t="shared" si="4"/>
        <v>1</v>
      </c>
    </row>
    <row r="94" ht="28.5" spans="1:6">
      <c r="A94" s="11">
        <v>90</v>
      </c>
      <c r="B94" s="19" t="s">
        <v>762</v>
      </c>
      <c r="C94" s="12" t="s">
        <v>917</v>
      </c>
      <c r="D94" s="12">
        <v>1</v>
      </c>
      <c r="E94" s="17"/>
      <c r="F94" s="13">
        <f t="shared" si="4"/>
        <v>1</v>
      </c>
    </row>
    <row r="95" ht="28.5" spans="1:6">
      <c r="A95" s="11">
        <v>91</v>
      </c>
      <c r="B95" s="19" t="s">
        <v>762</v>
      </c>
      <c r="C95" s="12" t="s">
        <v>918</v>
      </c>
      <c r="D95" s="12">
        <v>1</v>
      </c>
      <c r="E95" s="17"/>
      <c r="F95" s="13">
        <f t="shared" si="4"/>
        <v>1</v>
      </c>
    </row>
    <row r="96" ht="28.5" spans="1:6">
      <c r="A96" s="11">
        <v>92</v>
      </c>
      <c r="B96" s="19" t="s">
        <v>762</v>
      </c>
      <c r="C96" s="12" t="s">
        <v>919</v>
      </c>
      <c r="D96" s="12">
        <v>1</v>
      </c>
      <c r="E96" s="17"/>
      <c r="F96" s="13">
        <f t="shared" si="4"/>
        <v>1</v>
      </c>
    </row>
    <row r="97" ht="28.5" spans="1:6">
      <c r="A97" s="11">
        <v>93</v>
      </c>
      <c r="B97" s="19" t="s">
        <v>762</v>
      </c>
      <c r="C97" s="12" t="s">
        <v>920</v>
      </c>
      <c r="D97" s="12">
        <v>1</v>
      </c>
      <c r="E97" s="17"/>
      <c r="F97" s="13">
        <f t="shared" si="4"/>
        <v>1</v>
      </c>
    </row>
    <row r="98" ht="28.5" spans="1:6">
      <c r="A98" s="11">
        <v>94</v>
      </c>
      <c r="B98" s="19" t="s">
        <v>921</v>
      </c>
      <c r="C98" s="12" t="s">
        <v>922</v>
      </c>
      <c r="D98" s="12">
        <v>1</v>
      </c>
      <c r="E98" s="17"/>
      <c r="F98" s="13">
        <f t="shared" si="4"/>
        <v>1</v>
      </c>
    </row>
    <row r="99" ht="28.5" spans="1:6">
      <c r="A99" s="11">
        <v>95</v>
      </c>
      <c r="B99" s="19" t="s">
        <v>908</v>
      </c>
      <c r="C99" s="12" t="s">
        <v>923</v>
      </c>
      <c r="D99" s="12">
        <v>1</v>
      </c>
      <c r="E99" s="17"/>
      <c r="F99" s="13">
        <f t="shared" si="4"/>
        <v>1</v>
      </c>
    </row>
    <row r="100" ht="28.5" spans="1:6">
      <c r="A100" s="11">
        <v>96</v>
      </c>
      <c r="B100" s="19" t="s">
        <v>924</v>
      </c>
      <c r="C100" s="12" t="s">
        <v>925</v>
      </c>
      <c r="D100" s="12">
        <v>1</v>
      </c>
      <c r="E100" s="17">
        <v>1</v>
      </c>
      <c r="F100" s="13">
        <f t="shared" si="4"/>
        <v>0</v>
      </c>
    </row>
    <row r="101" ht="28.5" spans="1:6">
      <c r="A101" s="11">
        <v>97</v>
      </c>
      <c r="B101" s="19" t="s">
        <v>924</v>
      </c>
      <c r="C101" s="12" t="s">
        <v>926</v>
      </c>
      <c r="D101" s="12">
        <v>1</v>
      </c>
      <c r="E101" s="17"/>
      <c r="F101" s="13">
        <f t="shared" si="4"/>
        <v>1</v>
      </c>
    </row>
    <row r="102" ht="28.5" spans="1:6">
      <c r="A102" s="11">
        <v>98</v>
      </c>
      <c r="B102" s="19" t="s">
        <v>924</v>
      </c>
      <c r="C102" s="12" t="s">
        <v>927</v>
      </c>
      <c r="D102" s="12">
        <v>2</v>
      </c>
      <c r="E102" s="17"/>
      <c r="F102" s="13">
        <f t="shared" si="4"/>
        <v>2</v>
      </c>
    </row>
    <row r="103" ht="28.5" spans="1:6">
      <c r="A103" s="11">
        <v>99</v>
      </c>
      <c r="B103" s="19" t="s">
        <v>762</v>
      </c>
      <c r="C103" s="12" t="s">
        <v>928</v>
      </c>
      <c r="D103" s="12">
        <v>2</v>
      </c>
      <c r="E103" s="17"/>
      <c r="F103" s="13">
        <f t="shared" si="4"/>
        <v>2</v>
      </c>
    </row>
    <row r="104" ht="28.5" spans="1:6">
      <c r="A104" s="11">
        <v>100</v>
      </c>
      <c r="B104" s="19" t="s">
        <v>762</v>
      </c>
      <c r="C104" s="12" t="s">
        <v>929</v>
      </c>
      <c r="D104" s="12">
        <v>2</v>
      </c>
      <c r="E104" s="17"/>
      <c r="F104" s="13">
        <f t="shared" si="4"/>
        <v>2</v>
      </c>
    </row>
    <row r="105" ht="28.5" spans="1:6">
      <c r="A105" s="11">
        <v>101</v>
      </c>
      <c r="B105" s="19" t="s">
        <v>762</v>
      </c>
      <c r="C105" s="12" t="s">
        <v>930</v>
      </c>
      <c r="D105" s="12">
        <v>2</v>
      </c>
      <c r="E105" s="17"/>
      <c r="F105" s="13">
        <f t="shared" si="4"/>
        <v>2</v>
      </c>
    </row>
    <row r="106" ht="28.5" spans="1:6">
      <c r="A106" s="11">
        <v>102</v>
      </c>
      <c r="B106" s="19" t="s">
        <v>762</v>
      </c>
      <c r="C106" s="12" t="s">
        <v>931</v>
      </c>
      <c r="D106" s="12">
        <v>2</v>
      </c>
      <c r="E106" s="17"/>
      <c r="F106" s="13">
        <f t="shared" si="4"/>
        <v>2</v>
      </c>
    </row>
    <row r="107" ht="28.5" spans="1:6">
      <c r="A107" s="11">
        <v>103</v>
      </c>
      <c r="B107" s="19" t="s">
        <v>932</v>
      </c>
      <c r="C107" s="12"/>
      <c r="D107" s="12">
        <v>1</v>
      </c>
      <c r="E107" s="17"/>
      <c r="F107" s="13">
        <f t="shared" ref="F107:F124" si="5">D107-E107</f>
        <v>1</v>
      </c>
    </row>
    <row r="108" ht="28.5" spans="1:6">
      <c r="A108" s="11">
        <v>104</v>
      </c>
      <c r="B108" s="19" t="s">
        <v>933</v>
      </c>
      <c r="C108" s="9"/>
      <c r="D108" s="9">
        <v>7</v>
      </c>
      <c r="E108" s="9"/>
      <c r="F108" s="13">
        <f t="shared" si="5"/>
        <v>7</v>
      </c>
    </row>
    <row r="109" ht="28.5" spans="1:6">
      <c r="A109" s="11">
        <v>105</v>
      </c>
      <c r="B109" s="9" t="s">
        <v>934</v>
      </c>
      <c r="C109" s="9" t="s">
        <v>935</v>
      </c>
      <c r="D109" s="9">
        <v>2</v>
      </c>
      <c r="E109" s="9">
        <v>2</v>
      </c>
      <c r="F109" s="13">
        <f t="shared" si="5"/>
        <v>0</v>
      </c>
    </row>
    <row r="110" ht="28.5" spans="1:6">
      <c r="A110" s="11">
        <v>106</v>
      </c>
      <c r="B110" s="9" t="s">
        <v>936</v>
      </c>
      <c r="C110" s="9" t="s">
        <v>937</v>
      </c>
      <c r="D110" s="9">
        <v>2</v>
      </c>
      <c r="E110" s="9">
        <v>1</v>
      </c>
      <c r="F110" s="13">
        <f t="shared" si="5"/>
        <v>1</v>
      </c>
    </row>
    <row r="111" ht="28.5" spans="1:6">
      <c r="A111" s="11">
        <v>107</v>
      </c>
      <c r="B111" s="9" t="s">
        <v>938</v>
      </c>
      <c r="C111" s="9" t="s">
        <v>939</v>
      </c>
      <c r="D111" s="9">
        <v>1</v>
      </c>
      <c r="E111" s="9"/>
      <c r="F111" s="13">
        <f t="shared" si="5"/>
        <v>1</v>
      </c>
    </row>
    <row r="112" ht="28.5" spans="1:6">
      <c r="A112" s="11">
        <v>108</v>
      </c>
      <c r="B112" s="9" t="s">
        <v>940</v>
      </c>
      <c r="C112" s="9" t="s">
        <v>941</v>
      </c>
      <c r="D112" s="9">
        <v>1</v>
      </c>
      <c r="E112" s="9"/>
      <c r="F112" s="13">
        <f t="shared" si="5"/>
        <v>1</v>
      </c>
    </row>
    <row r="113" ht="28.5" spans="1:6">
      <c r="A113" s="11">
        <v>109</v>
      </c>
      <c r="B113" s="9" t="s">
        <v>942</v>
      </c>
      <c r="C113" s="9" t="s">
        <v>943</v>
      </c>
      <c r="D113" s="9">
        <v>5</v>
      </c>
      <c r="E113" s="9">
        <v>2</v>
      </c>
      <c r="F113" s="13">
        <f t="shared" si="5"/>
        <v>3</v>
      </c>
    </row>
    <row r="114" ht="28.5" spans="1:6">
      <c r="A114" s="11">
        <v>110</v>
      </c>
      <c r="B114" s="9"/>
      <c r="C114" s="9"/>
      <c r="D114" s="9"/>
      <c r="E114" s="9"/>
      <c r="F114" s="13">
        <f t="shared" si="5"/>
        <v>0</v>
      </c>
    </row>
    <row r="115" ht="28.5" spans="1:6">
      <c r="A115" s="11">
        <v>111</v>
      </c>
      <c r="B115" s="9"/>
      <c r="C115" s="9"/>
      <c r="D115" s="9"/>
      <c r="E115" s="9"/>
      <c r="F115" s="13">
        <f t="shared" si="5"/>
        <v>0</v>
      </c>
    </row>
    <row r="116" ht="28.5" spans="1:6">
      <c r="A116" s="11">
        <v>112</v>
      </c>
      <c r="B116" s="9"/>
      <c r="C116" s="9"/>
      <c r="D116" s="9"/>
      <c r="E116" s="9"/>
      <c r="F116" s="13">
        <f t="shared" si="5"/>
        <v>0</v>
      </c>
    </row>
    <row r="117" ht="28.5" spans="1:6">
      <c r="A117" s="11">
        <v>113</v>
      </c>
      <c r="B117" s="9"/>
      <c r="C117" s="9"/>
      <c r="D117" s="9"/>
      <c r="E117" s="9"/>
      <c r="F117" s="13">
        <f t="shared" si="5"/>
        <v>0</v>
      </c>
    </row>
    <row r="118" ht="28.5" spans="1:6">
      <c r="A118" s="11">
        <v>114</v>
      </c>
      <c r="B118" s="9"/>
      <c r="C118" s="9"/>
      <c r="D118" s="9"/>
      <c r="E118" s="9"/>
      <c r="F118" s="13">
        <f t="shared" si="5"/>
        <v>0</v>
      </c>
    </row>
    <row r="119" ht="28.5" spans="1:6">
      <c r="A119" s="11">
        <v>115</v>
      </c>
      <c r="B119" s="9"/>
      <c r="C119" s="9"/>
      <c r="D119" s="9"/>
      <c r="E119" s="9"/>
      <c r="F119" s="13">
        <f t="shared" si="5"/>
        <v>0</v>
      </c>
    </row>
    <row r="120" ht="28.5" spans="1:6">
      <c r="A120" s="11">
        <v>116</v>
      </c>
      <c r="B120" s="9"/>
      <c r="C120" s="9"/>
      <c r="D120" s="9"/>
      <c r="E120" s="9"/>
      <c r="F120" s="13">
        <f t="shared" si="5"/>
        <v>0</v>
      </c>
    </row>
    <row r="121" ht="28.5" spans="1:6">
      <c r="A121" s="11">
        <v>117</v>
      </c>
      <c r="B121" s="9"/>
      <c r="C121" s="9"/>
      <c r="D121" s="9"/>
      <c r="E121" s="9"/>
      <c r="F121" s="13">
        <f t="shared" si="5"/>
        <v>0</v>
      </c>
    </row>
    <row r="122" ht="28.5" spans="1:6">
      <c r="A122" s="11">
        <v>118</v>
      </c>
      <c r="B122" s="9"/>
      <c r="C122" s="9"/>
      <c r="D122" s="9"/>
      <c r="E122" s="9"/>
      <c r="F122" s="13">
        <f t="shared" si="5"/>
        <v>0</v>
      </c>
    </row>
    <row r="123" ht="28.5" spans="1:6">
      <c r="A123" s="11">
        <v>119</v>
      </c>
      <c r="B123" s="9"/>
      <c r="C123" s="9"/>
      <c r="D123" s="9"/>
      <c r="E123" s="9"/>
      <c r="F123" s="13">
        <f t="shared" si="5"/>
        <v>0</v>
      </c>
    </row>
    <row r="124" ht="28.5" spans="1:6">
      <c r="A124" s="11">
        <v>120</v>
      </c>
      <c r="B124" s="9"/>
      <c r="C124" s="9"/>
      <c r="D124" s="9"/>
      <c r="E124" s="9"/>
      <c r="F124" s="13">
        <f t="shared" si="5"/>
        <v>0</v>
      </c>
    </row>
  </sheetData>
  <mergeCells count="1">
    <mergeCell ref="A1:F3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zoomScale="130" zoomScaleNormal="130" topLeftCell="A16" workbookViewId="0">
      <selection activeCell="G90" sqref="G90"/>
    </sheetView>
  </sheetViews>
  <sheetFormatPr defaultColWidth="9.14285714285714" defaultRowHeight="15" outlineLevelCol="5"/>
  <cols>
    <col min="1" max="1" width="4.14285714285714" customWidth="1"/>
    <col min="2" max="2" width="49.8571428571429" customWidth="1"/>
    <col min="3" max="3" width="39.2857142857143" customWidth="1"/>
    <col min="4" max="5" width="10.8571428571429" customWidth="1"/>
    <col min="6" max="6" width="15.5714285714286" customWidth="1"/>
  </cols>
  <sheetData>
    <row r="1" spans="1:6">
      <c r="A1" s="1" t="s">
        <v>944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ht="30" spans="1:6">
      <c r="A4" s="2" t="s">
        <v>70</v>
      </c>
      <c r="B4" s="3" t="s">
        <v>392</v>
      </c>
      <c r="C4" s="3" t="s">
        <v>286</v>
      </c>
      <c r="D4" s="3" t="s">
        <v>73</v>
      </c>
      <c r="E4" s="3" t="s">
        <v>74</v>
      </c>
      <c r="F4" s="3" t="s">
        <v>945</v>
      </c>
    </row>
    <row r="5" ht="18.75" spans="1:6">
      <c r="A5" s="4">
        <v>1</v>
      </c>
      <c r="B5" s="5" t="s">
        <v>946</v>
      </c>
      <c r="C5" s="5"/>
      <c r="D5" s="5">
        <v>7</v>
      </c>
      <c r="E5" s="5">
        <v>0</v>
      </c>
      <c r="F5" s="5">
        <f>D5-E5</f>
        <v>7</v>
      </c>
    </row>
    <row r="6" ht="18.75" spans="1:6">
      <c r="A6" s="4">
        <v>2</v>
      </c>
      <c r="B6" s="5" t="s">
        <v>947</v>
      </c>
      <c r="C6" s="5" t="s">
        <v>948</v>
      </c>
      <c r="D6" s="5">
        <v>2</v>
      </c>
      <c r="E6" s="5"/>
      <c r="F6" s="5">
        <f t="shared" ref="F6:F44" si="0">D6-E6</f>
        <v>2</v>
      </c>
    </row>
    <row r="7" ht="18.75" spans="1:6">
      <c r="A7" s="4">
        <v>3</v>
      </c>
      <c r="B7" s="5" t="s">
        <v>949</v>
      </c>
      <c r="C7" s="5" t="s">
        <v>950</v>
      </c>
      <c r="D7" s="5">
        <v>2</v>
      </c>
      <c r="E7" s="5"/>
      <c r="F7" s="5">
        <f t="shared" si="0"/>
        <v>2</v>
      </c>
    </row>
    <row r="8" ht="18.75" spans="1:6">
      <c r="A8" s="4">
        <v>4</v>
      </c>
      <c r="B8" s="5" t="s">
        <v>951</v>
      </c>
      <c r="C8" s="5" t="s">
        <v>952</v>
      </c>
      <c r="D8" s="5">
        <v>1</v>
      </c>
      <c r="E8" s="5"/>
      <c r="F8" s="5">
        <f t="shared" si="0"/>
        <v>1</v>
      </c>
    </row>
    <row r="9" ht="18.75" spans="1:6">
      <c r="A9" s="4">
        <v>5</v>
      </c>
      <c r="B9" s="5" t="s">
        <v>953</v>
      </c>
      <c r="C9" s="5" t="s">
        <v>954</v>
      </c>
      <c r="D9" s="5">
        <v>2</v>
      </c>
      <c r="E9" s="5"/>
      <c r="F9" s="5">
        <f t="shared" si="0"/>
        <v>2</v>
      </c>
    </row>
    <row r="10" ht="18.75" spans="1:6">
      <c r="A10" s="4">
        <v>6</v>
      </c>
      <c r="B10" s="5" t="s">
        <v>955</v>
      </c>
      <c r="C10" s="5"/>
      <c r="D10" s="5">
        <v>3</v>
      </c>
      <c r="E10" s="5"/>
      <c r="F10" s="5">
        <f t="shared" si="0"/>
        <v>3</v>
      </c>
    </row>
    <row r="11" ht="18.75" spans="1:6">
      <c r="A11" s="4">
        <v>7</v>
      </c>
      <c r="B11" s="5" t="s">
        <v>956</v>
      </c>
      <c r="C11" s="5" t="s">
        <v>957</v>
      </c>
      <c r="D11" s="5">
        <v>1</v>
      </c>
      <c r="E11" s="5"/>
      <c r="F11" s="5">
        <f t="shared" si="0"/>
        <v>1</v>
      </c>
    </row>
    <row r="12" ht="18.75" spans="1:6">
      <c r="A12" s="4">
        <v>8</v>
      </c>
      <c r="B12" s="5" t="s">
        <v>958</v>
      </c>
      <c r="C12" s="5"/>
      <c r="D12" s="5">
        <v>1</v>
      </c>
      <c r="E12" s="5"/>
      <c r="F12" s="5">
        <f t="shared" si="0"/>
        <v>1</v>
      </c>
    </row>
    <row r="13" ht="18.75" spans="1:6">
      <c r="A13" s="4">
        <v>9</v>
      </c>
      <c r="B13" s="5" t="s">
        <v>959</v>
      </c>
      <c r="C13" s="5" t="s">
        <v>960</v>
      </c>
      <c r="D13" s="5">
        <v>1</v>
      </c>
      <c r="E13" s="5"/>
      <c r="F13" s="5">
        <f t="shared" si="0"/>
        <v>1</v>
      </c>
    </row>
    <row r="14" ht="18.75" spans="1:6">
      <c r="A14" s="4">
        <v>10</v>
      </c>
      <c r="B14" s="5" t="s">
        <v>961</v>
      </c>
      <c r="C14" s="5" t="s">
        <v>962</v>
      </c>
      <c r="D14" s="5">
        <v>1</v>
      </c>
      <c r="E14" s="5"/>
      <c r="F14" s="5">
        <f t="shared" si="0"/>
        <v>1</v>
      </c>
    </row>
    <row r="15" ht="18.75" spans="1:6">
      <c r="A15" s="4">
        <v>11</v>
      </c>
      <c r="B15" s="5" t="s">
        <v>963</v>
      </c>
      <c r="C15" s="5" t="s">
        <v>964</v>
      </c>
      <c r="D15" s="5">
        <v>1</v>
      </c>
      <c r="E15" s="5"/>
      <c r="F15" s="5">
        <f t="shared" si="0"/>
        <v>1</v>
      </c>
    </row>
    <row r="16" ht="18.75" spans="1:6">
      <c r="A16" s="4">
        <v>12</v>
      </c>
      <c r="B16" s="5" t="s">
        <v>965</v>
      </c>
      <c r="C16" s="5"/>
      <c r="D16" s="5">
        <v>2</v>
      </c>
      <c r="E16" s="5"/>
      <c r="F16" s="5">
        <f t="shared" si="0"/>
        <v>2</v>
      </c>
    </row>
    <row r="17" ht="18.75" spans="1:6">
      <c r="A17" s="4">
        <v>13</v>
      </c>
      <c r="B17" s="5" t="s">
        <v>966</v>
      </c>
      <c r="C17" s="5"/>
      <c r="D17" s="5">
        <v>1</v>
      </c>
      <c r="E17" s="5"/>
      <c r="F17" s="5">
        <f t="shared" si="0"/>
        <v>1</v>
      </c>
    </row>
    <row r="18" ht="18.75" spans="1:6">
      <c r="A18" s="4">
        <v>14</v>
      </c>
      <c r="B18" s="5" t="s">
        <v>967</v>
      </c>
      <c r="C18" s="5" t="s">
        <v>968</v>
      </c>
      <c r="D18" s="5">
        <v>1</v>
      </c>
      <c r="E18" s="5"/>
      <c r="F18" s="5">
        <f t="shared" si="0"/>
        <v>1</v>
      </c>
    </row>
    <row r="19" ht="18.75" spans="1:6">
      <c r="A19" s="4">
        <v>15</v>
      </c>
      <c r="B19" s="5" t="s">
        <v>969</v>
      </c>
      <c r="C19" s="5" t="s">
        <v>970</v>
      </c>
      <c r="D19" s="5">
        <v>2</v>
      </c>
      <c r="E19" s="5"/>
      <c r="F19" s="5">
        <f t="shared" si="0"/>
        <v>2</v>
      </c>
    </row>
    <row r="20" ht="18.75" spans="1:6">
      <c r="A20" s="4">
        <v>16</v>
      </c>
      <c r="B20" s="5" t="s">
        <v>971</v>
      </c>
      <c r="C20" s="5" t="s">
        <v>972</v>
      </c>
      <c r="D20" s="5">
        <v>2</v>
      </c>
      <c r="E20" s="5"/>
      <c r="F20" s="5">
        <f t="shared" si="0"/>
        <v>2</v>
      </c>
    </row>
    <row r="21" ht="18.75" spans="1:6">
      <c r="A21" s="4">
        <v>17</v>
      </c>
      <c r="B21" s="5" t="s">
        <v>973</v>
      </c>
      <c r="C21" s="5" t="s">
        <v>974</v>
      </c>
      <c r="D21" s="5">
        <v>2</v>
      </c>
      <c r="E21" s="5"/>
      <c r="F21" s="5">
        <f t="shared" si="0"/>
        <v>2</v>
      </c>
    </row>
    <row r="22" ht="18.75" spans="1:6">
      <c r="A22" s="4">
        <v>18</v>
      </c>
      <c r="B22" s="5" t="s">
        <v>975</v>
      </c>
      <c r="C22" s="5" t="s">
        <v>976</v>
      </c>
      <c r="D22" s="5">
        <v>2</v>
      </c>
      <c r="E22" s="5"/>
      <c r="F22" s="5">
        <f t="shared" si="0"/>
        <v>2</v>
      </c>
    </row>
    <row r="23" ht="18.75" spans="1:6">
      <c r="A23" s="4">
        <v>19</v>
      </c>
      <c r="B23" s="5" t="s">
        <v>977</v>
      </c>
      <c r="C23" s="5" t="s">
        <v>978</v>
      </c>
      <c r="D23" s="5">
        <v>4</v>
      </c>
      <c r="E23" s="5"/>
      <c r="F23" s="5">
        <f t="shared" si="0"/>
        <v>4</v>
      </c>
    </row>
    <row r="24" ht="18.75" spans="1:6">
      <c r="A24" s="4">
        <v>20</v>
      </c>
      <c r="B24" s="5" t="s">
        <v>979</v>
      </c>
      <c r="C24" s="5" t="s">
        <v>980</v>
      </c>
      <c r="D24" s="5">
        <v>2</v>
      </c>
      <c r="E24" s="5"/>
      <c r="F24" s="5">
        <f t="shared" si="0"/>
        <v>2</v>
      </c>
    </row>
    <row r="25" ht="18.75" spans="1:6">
      <c r="A25" s="4">
        <v>21</v>
      </c>
      <c r="B25" s="5" t="s">
        <v>981</v>
      </c>
      <c r="C25" s="5"/>
      <c r="D25" s="5">
        <v>1</v>
      </c>
      <c r="E25" s="5"/>
      <c r="F25" s="5">
        <f t="shared" si="0"/>
        <v>1</v>
      </c>
    </row>
    <row r="26" ht="18.75" spans="1:6">
      <c r="A26" s="4">
        <v>22</v>
      </c>
      <c r="B26" s="5" t="s">
        <v>979</v>
      </c>
      <c r="C26" s="5" t="s">
        <v>982</v>
      </c>
      <c r="D26" s="5">
        <v>3</v>
      </c>
      <c r="E26" s="5"/>
      <c r="F26" s="5">
        <f t="shared" si="0"/>
        <v>3</v>
      </c>
    </row>
    <row r="27" ht="18.75" spans="1:6">
      <c r="A27" s="4">
        <v>23</v>
      </c>
      <c r="B27" s="5" t="s">
        <v>983</v>
      </c>
      <c r="C27" s="5"/>
      <c r="D27" s="5">
        <v>1</v>
      </c>
      <c r="E27" s="5">
        <v>0</v>
      </c>
      <c r="F27" s="5">
        <f t="shared" si="0"/>
        <v>1</v>
      </c>
    </row>
    <row r="28" ht="18.75" spans="1:6">
      <c r="A28" s="4">
        <v>24</v>
      </c>
      <c r="B28" s="5"/>
      <c r="C28" s="5"/>
      <c r="D28" s="5"/>
      <c r="E28" s="5"/>
      <c r="F28" s="5">
        <f t="shared" si="0"/>
        <v>0</v>
      </c>
    </row>
    <row r="29" ht="18.75" spans="1:6">
      <c r="A29" s="4">
        <v>25</v>
      </c>
      <c r="B29" s="5"/>
      <c r="C29" s="5"/>
      <c r="D29" s="5"/>
      <c r="E29" s="5"/>
      <c r="F29" s="5">
        <f t="shared" si="0"/>
        <v>0</v>
      </c>
    </row>
    <row r="30" ht="18.75" spans="1:6">
      <c r="A30" s="4">
        <v>26</v>
      </c>
      <c r="B30" s="5"/>
      <c r="C30" s="5"/>
      <c r="D30" s="5"/>
      <c r="E30" s="5"/>
      <c r="F30" s="5">
        <f t="shared" si="0"/>
        <v>0</v>
      </c>
    </row>
    <row r="31" ht="18.75" spans="1:6">
      <c r="A31" s="4">
        <v>27</v>
      </c>
      <c r="B31" s="5"/>
      <c r="C31" s="5"/>
      <c r="D31" s="5"/>
      <c r="E31" s="5"/>
      <c r="F31" s="5">
        <f t="shared" si="0"/>
        <v>0</v>
      </c>
    </row>
    <row r="32" ht="18.75" spans="1:6">
      <c r="A32" s="4">
        <v>28</v>
      </c>
      <c r="B32" s="5"/>
      <c r="C32" s="5"/>
      <c r="D32" s="5"/>
      <c r="E32" s="5"/>
      <c r="F32" s="5">
        <f t="shared" si="0"/>
        <v>0</v>
      </c>
    </row>
    <row r="33" ht="18.75" spans="1:6">
      <c r="A33" s="4">
        <v>29</v>
      </c>
      <c r="B33" s="5"/>
      <c r="C33" s="5"/>
      <c r="D33" s="5"/>
      <c r="E33" s="5"/>
      <c r="F33" s="5">
        <f t="shared" si="0"/>
        <v>0</v>
      </c>
    </row>
    <row r="34" ht="18.75" spans="1:6">
      <c r="A34" s="4">
        <v>30</v>
      </c>
      <c r="B34" s="5"/>
      <c r="C34" s="5"/>
      <c r="D34" s="5"/>
      <c r="E34" s="5"/>
      <c r="F34" s="5">
        <f t="shared" si="0"/>
        <v>0</v>
      </c>
    </row>
    <row r="35" ht="18.75" spans="1:6">
      <c r="A35" s="4">
        <v>31</v>
      </c>
      <c r="B35" s="5"/>
      <c r="C35" s="5"/>
      <c r="D35" s="5"/>
      <c r="E35" s="5"/>
      <c r="F35" s="5">
        <f t="shared" si="0"/>
        <v>0</v>
      </c>
    </row>
    <row r="36" ht="18.75" spans="1:6">
      <c r="A36" s="4">
        <v>32</v>
      </c>
      <c r="B36" s="5"/>
      <c r="C36" s="5"/>
      <c r="D36" s="5"/>
      <c r="E36" s="5"/>
      <c r="F36" s="5">
        <f t="shared" si="0"/>
        <v>0</v>
      </c>
    </row>
    <row r="37" ht="18.75" spans="1:6">
      <c r="A37" s="4">
        <v>33</v>
      </c>
      <c r="B37" s="5"/>
      <c r="C37" s="5"/>
      <c r="D37" s="5"/>
      <c r="E37" s="5"/>
      <c r="F37" s="5">
        <f t="shared" si="0"/>
        <v>0</v>
      </c>
    </row>
    <row r="38" ht="18.75" spans="1:6">
      <c r="A38" s="4">
        <v>34</v>
      </c>
      <c r="B38" s="5"/>
      <c r="C38" s="5"/>
      <c r="D38" s="5"/>
      <c r="E38" s="5"/>
      <c r="F38" s="5">
        <f t="shared" si="0"/>
        <v>0</v>
      </c>
    </row>
    <row r="39" ht="18.75" spans="1:6">
      <c r="A39" s="4">
        <v>35</v>
      </c>
      <c r="B39" s="5"/>
      <c r="C39" s="5"/>
      <c r="D39" s="5"/>
      <c r="E39" s="5"/>
      <c r="F39" s="5">
        <f t="shared" si="0"/>
        <v>0</v>
      </c>
    </row>
    <row r="40" ht="18.75" spans="1:6">
      <c r="A40" s="4">
        <v>36</v>
      </c>
      <c r="B40" s="5"/>
      <c r="C40" s="5"/>
      <c r="D40" s="5"/>
      <c r="E40" s="5"/>
      <c r="F40" s="5">
        <f t="shared" si="0"/>
        <v>0</v>
      </c>
    </row>
    <row r="41" ht="18.75" spans="1:6">
      <c r="A41" s="4">
        <v>37</v>
      </c>
      <c r="B41" s="5"/>
      <c r="C41" s="5"/>
      <c r="D41" s="5"/>
      <c r="E41" s="5"/>
      <c r="F41" s="5">
        <f t="shared" si="0"/>
        <v>0</v>
      </c>
    </row>
    <row r="42" ht="18.75" spans="1:6">
      <c r="A42" s="4">
        <v>38</v>
      </c>
      <c r="B42" s="5"/>
      <c r="C42" s="5"/>
      <c r="D42" s="5"/>
      <c r="E42" s="5"/>
      <c r="F42" s="5">
        <f t="shared" si="0"/>
        <v>0</v>
      </c>
    </row>
    <row r="43" ht="18.75" spans="1:6">
      <c r="A43" s="4">
        <v>39</v>
      </c>
      <c r="B43" s="5"/>
      <c r="C43" s="5"/>
      <c r="D43" s="5"/>
      <c r="E43" s="5"/>
      <c r="F43" s="5">
        <f t="shared" si="0"/>
        <v>0</v>
      </c>
    </row>
    <row r="44" ht="18.75" spans="1:6">
      <c r="A44" s="4">
        <v>40</v>
      </c>
      <c r="B44" s="5"/>
      <c r="C44" s="5"/>
      <c r="D44" s="5"/>
      <c r="E44" s="5"/>
      <c r="F44" s="5">
        <f t="shared" si="0"/>
        <v>0</v>
      </c>
    </row>
  </sheetData>
  <mergeCells count="1">
    <mergeCell ref="A1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BREAKER RELAY ETC</vt:lpstr>
      <vt:lpstr>SHANXI BARREN</vt:lpstr>
      <vt:lpstr>WORLDLY GRAVOURE</vt:lpstr>
      <vt:lpstr>SINOMECH</vt:lpstr>
      <vt:lpstr>BAG MAKING</vt:lpstr>
      <vt:lpstr>COMEXI LAMINATION</vt:lpstr>
      <vt:lpstr>METALIZER</vt:lpstr>
      <vt:lpstr>SLITTINGS</vt:lpstr>
      <vt:lpstr>BELTS</vt:lpstr>
      <vt:lpstr>UV REBORN MACHINE</vt:lpstr>
      <vt:lpstr>PNEUMATIC</vt:lpstr>
      <vt:lpstr>DIAPPER CUTTING</vt:lpstr>
      <vt:lpstr>3 LAYER EXTRUDER</vt:lpstr>
      <vt:lpstr>MONO LAYER EXTRUDER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2026-03-28T05:33:00Z</dcterms:created>
  <cp:lastPrinted>2026-03-28T10:02:00Z</cp:lastPrinted>
  <dcterms:modified xsi:type="dcterms:W3CDTF">2026-09-14T12:31:45Z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